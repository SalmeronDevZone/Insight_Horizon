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mpom\Dropbox\8-Anaya Libros\02 Plantillas DAX\11_Presupuestos y PYG\11. Presupuestos y PYG_ARCHIVOS\11_Presupuestos_y_PYG_DATASET\"/>
    </mc:Choice>
  </mc:AlternateContent>
  <xr:revisionPtr revIDLastSave="0" documentId="13_ncr:1_{1798B562-895D-4248-BD6B-8210F7FB4A72}" xr6:coauthVersionLast="47" xr6:coauthVersionMax="47" xr10:uidLastSave="{00000000-0000-0000-0000-000000000000}"/>
  <bookViews>
    <workbookView xWindow="-90" yWindow="-90" windowWidth="16380" windowHeight="10260" tabRatio="530" xr2:uid="{2A4198E7-E0A2-4940-835F-57517EA5BE96}"/>
  </bookViews>
  <sheets>
    <sheet name="Presupuesto" sheetId="2" r:id="rId1"/>
  </sheets>
  <definedNames>
    <definedName name="_xlnm._FilterDatabase" localSheetId="0" hidden="1">Presupuesto!$A$3:$O$54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2" l="1"/>
  <c r="B46" i="2"/>
  <c r="B39" i="2"/>
  <c r="B16" i="2"/>
  <c r="B54" i="2"/>
  <c r="B41" i="2"/>
  <c r="B53" i="2"/>
  <c r="B40" i="2"/>
  <c r="B32" i="2"/>
  <c r="B51" i="2"/>
  <c r="B47" i="2"/>
  <c r="B50" i="2"/>
  <c r="B49" i="2"/>
  <c r="B31" i="2"/>
  <c r="B25" i="2"/>
  <c r="B15" i="2"/>
  <c r="B38" i="2"/>
  <c r="B37" i="2"/>
  <c r="B24" i="2"/>
  <c r="B14" i="2"/>
  <c r="B22" i="2"/>
  <c r="B21" i="2"/>
  <c r="B20" i="2"/>
  <c r="B19" i="2"/>
  <c r="E3" i="2"/>
  <c r="F3" i="2"/>
  <c r="G3" i="2"/>
  <c r="H3" i="2"/>
  <c r="I3" i="2"/>
  <c r="J3" i="2"/>
  <c r="K3" i="2"/>
  <c r="L3" i="2"/>
  <c r="M3" i="2"/>
  <c r="N3" i="2"/>
  <c r="O3" i="2"/>
  <c r="D3" i="2"/>
  <c r="B11" i="2"/>
  <c r="B12" i="2"/>
  <c r="B13" i="2"/>
  <c r="B18" i="2"/>
  <c r="B34" i="2"/>
  <c r="B35" i="2"/>
  <c r="B36" i="2"/>
  <c r="B23" i="2"/>
  <c r="B43" i="2"/>
  <c r="B44" i="2"/>
  <c r="B45" i="2"/>
  <c r="B26" i="2"/>
  <c r="B27" i="2"/>
  <c r="B28" i="2"/>
  <c r="B30" i="2"/>
  <c r="B4" i="2"/>
  <c r="B5" i="2"/>
  <c r="B6" i="2"/>
  <c r="B7" i="2"/>
  <c r="B8" i="2"/>
  <c r="B1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7DE64E-1616-46C5-8A7C-9D31426286DF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<sst xmlns="http://schemas.openxmlformats.org/spreadsheetml/2006/main" count="97" uniqueCount="38">
  <si>
    <t>600.  Compras de mercaderías</t>
  </si>
  <si>
    <t>602.  Compras de otros aprovisionamientos</t>
  </si>
  <si>
    <t>610.  Variación de existencias de mercaderías</t>
  </si>
  <si>
    <t>622.  Reparaciones y conservación</t>
  </si>
  <si>
    <t>623.  Servicios de profesionales independientes</t>
  </si>
  <si>
    <t>624.  Transportes</t>
  </si>
  <si>
    <t>625.  Primas de seguros</t>
  </si>
  <si>
    <t>626.  Servicios bancarios y similares</t>
  </si>
  <si>
    <t>627.  Publicidad, propaganda y relaciones públicas</t>
  </si>
  <si>
    <t>628.  Suministros</t>
  </si>
  <si>
    <t>629.  Otros servicios</t>
  </si>
  <si>
    <t>630.  Impuesto corriente</t>
  </si>
  <si>
    <t>631.  Otros tributos</t>
  </si>
  <si>
    <t>638.  Ajustes positivos en la imposición sobre beneficios</t>
  </si>
  <si>
    <t>640.  Sueldos y salarios</t>
  </si>
  <si>
    <t>642.  Seguridad Social a cargo de la empresa</t>
  </si>
  <si>
    <t>649.  Otros gastos sociales</t>
  </si>
  <si>
    <t>659.  Otras pérdidas en gestión corriente</t>
  </si>
  <si>
    <t>662.  Intereses de deudas, empresas del grupo</t>
  </si>
  <si>
    <t>665.  Intereses por descuento de efectos en otras entidades de crédito</t>
  </si>
  <si>
    <t>669.  Otros gastos financieros</t>
  </si>
  <si>
    <t>681.  Amortización del inmovilizado material</t>
  </si>
  <si>
    <t>700.  Ventas de mercaderías</t>
  </si>
  <si>
    <t>710.  Variación de existencias de productos en curso</t>
  </si>
  <si>
    <t>740.  Subvenciones, donaciones y legados a la explotación</t>
  </si>
  <si>
    <t>760.  Ingresos de participaciones en instrumentos de patrimonio, empresas del grupo</t>
  </si>
  <si>
    <t>769.  Otros ingresos financieros</t>
  </si>
  <si>
    <t>ID_cuenta</t>
  </si>
  <si>
    <t>nomCta</t>
  </si>
  <si>
    <t>Año:</t>
  </si>
  <si>
    <t>Meses:</t>
  </si>
  <si>
    <t>01-Producción</t>
  </si>
  <si>
    <t>02-Finanzas</t>
  </si>
  <si>
    <t>04-RRHH</t>
  </si>
  <si>
    <t>00-Ventas</t>
  </si>
  <si>
    <t>05-Empresa</t>
  </si>
  <si>
    <t>03-Comercial</t>
  </si>
  <si>
    <t>dpto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</si>
</sst>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A7AA6-F3CC-456A-A128-F8E13FC1848C}">
  <sheetPr codeName="Hoja1"/>
  <dimension ref="A1:O54"/>
  <sheetViews>
    <sheetView tabSelected="1" workbookViewId="0">
      <selection activeCell="D2" sqref="D2"/>
    </sheetView>
  </sheetViews>
  <sheetFormatPr baseColWidth="10" defaultRowHeight="14.75" x14ac:dyDescent="0.75"/>
  <cols>
    <col min="1" max="1" width="21.08984375" customWidth="1"/>
    <col min="3" max="3" width="68.6328125" customWidth="1"/>
    <col min="16" max="16" width="6" customWidth="1"/>
  </cols>
  <sheetData>
    <row r="1" spans="1:15" x14ac:dyDescent="0.75">
      <c r="C1" s="2" t="s">
        <v>29</v>
      </c>
      <c r="D1">
        <v>2024</v>
      </c>
    </row>
    <row r="2" spans="1:15" x14ac:dyDescent="0.75">
      <c r="C2" s="2" t="s">
        <v>30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</row>
    <row r="3" spans="1:15" x14ac:dyDescent="0.75">
      <c r="A3" s="5" t="s">
        <v>37</v>
      </c>
      <c r="B3" s="4" t="s">
        <v>27</v>
      </c>
      <c r="C3" s="1" t="s">
        <v>28</v>
      </c>
      <c r="D3" s="3" t="str">
        <f t="shared" ref="D3:O3" si="0">$D$1&amp;"-"&amp;TEXT(D2,"00")</f>
        <v>2024-01</v>
      </c>
      <c r="E3" s="3" t="str">
        <f t="shared" si="0"/>
        <v>2024-02</v>
      </c>
      <c r="F3" s="3" t="str">
        <f t="shared" si="0"/>
        <v>2024-03</v>
      </c>
      <c r="G3" s="3" t="str">
        <f t="shared" si="0"/>
        <v>2024-04</v>
      </c>
      <c r="H3" s="3" t="str">
        <f t="shared" si="0"/>
        <v>2024-05</v>
      </c>
      <c r="I3" s="3" t="str">
        <f t="shared" si="0"/>
        <v>2024-06</v>
      </c>
      <c r="J3" s="3" t="str">
        <f t="shared" si="0"/>
        <v>2024-07</v>
      </c>
      <c r="K3" s="3" t="str">
        <f t="shared" si="0"/>
        <v>2024-08</v>
      </c>
      <c r="L3" s="3" t="str">
        <f t="shared" si="0"/>
        <v>2024-09</v>
      </c>
      <c r="M3" s="3" t="str">
        <f t="shared" si="0"/>
        <v>2024-10</v>
      </c>
      <c r="N3" s="3" t="str">
        <f t="shared" si="0"/>
        <v>2024-11</v>
      </c>
      <c r="O3" s="3" t="str">
        <f t="shared" si="0"/>
        <v>2024-12</v>
      </c>
    </row>
    <row r="4" spans="1:15" x14ac:dyDescent="0.75">
      <c r="A4" t="s">
        <v>34</v>
      </c>
      <c r="B4">
        <f>VALUE(LEFT(Presupuesto!$C4,3)&amp;0)</f>
        <v>7000</v>
      </c>
      <c r="C4" t="s">
        <v>22</v>
      </c>
      <c r="D4">
        <v>63373.5</v>
      </c>
      <c r="E4">
        <v>62123.01</v>
      </c>
      <c r="F4">
        <v>56364.53</v>
      </c>
      <c r="G4">
        <v>65569.81</v>
      </c>
      <c r="H4">
        <v>52460.94</v>
      </c>
      <c r="I4">
        <v>71488.98000000001</v>
      </c>
      <c r="J4">
        <v>75329.850000000006</v>
      </c>
      <c r="K4">
        <v>56735.94</v>
      </c>
      <c r="L4">
        <v>61594.62</v>
      </c>
      <c r="M4">
        <v>64608.959999999999</v>
      </c>
      <c r="N4">
        <v>70026.09</v>
      </c>
      <c r="O4">
        <v>56997.66</v>
      </c>
    </row>
    <row r="5" spans="1:15" x14ac:dyDescent="0.75">
      <c r="A5" t="s">
        <v>34</v>
      </c>
      <c r="B5">
        <f>VALUE(LEFT(Presupuesto!$C5,3)&amp;0)</f>
        <v>7100</v>
      </c>
      <c r="C5" t="s">
        <v>23</v>
      </c>
      <c r="O5">
        <v>-200</v>
      </c>
    </row>
    <row r="6" spans="1:15" x14ac:dyDescent="0.75">
      <c r="A6" t="s">
        <v>34</v>
      </c>
      <c r="B6">
        <f>VALUE(LEFT(Presupuesto!$C6,3)&amp;0)</f>
        <v>7400</v>
      </c>
      <c r="C6" t="s">
        <v>24</v>
      </c>
      <c r="D6">
        <v>3000</v>
      </c>
      <c r="E6">
        <v>3000</v>
      </c>
      <c r="J6">
        <v>3000</v>
      </c>
    </row>
    <row r="7" spans="1:15" x14ac:dyDescent="0.75">
      <c r="A7" t="s">
        <v>34</v>
      </c>
      <c r="B7">
        <f>VALUE(LEFT(Presupuesto!$C7,3)&amp;0)</f>
        <v>7600</v>
      </c>
      <c r="C7" t="s">
        <v>25</v>
      </c>
      <c r="G7">
        <v>14.42</v>
      </c>
    </row>
    <row r="8" spans="1:15" x14ac:dyDescent="0.75">
      <c r="A8" t="s">
        <v>34</v>
      </c>
      <c r="B8">
        <f>VALUE(LEFT(Presupuesto!$C8,3)&amp;0)</f>
        <v>7690</v>
      </c>
      <c r="C8" t="s">
        <v>26</v>
      </c>
      <c r="E8">
        <v>20</v>
      </c>
      <c r="F8">
        <v>0.03</v>
      </c>
      <c r="H8">
        <v>9.0299999999999994</v>
      </c>
      <c r="I8">
        <v>28.17</v>
      </c>
      <c r="L8">
        <v>0.5</v>
      </c>
      <c r="M8">
        <v>50</v>
      </c>
      <c r="O8">
        <v>147.5</v>
      </c>
    </row>
    <row r="10" spans="1:15" x14ac:dyDescent="0.75">
      <c r="A10" t="s">
        <v>31</v>
      </c>
      <c r="B10">
        <f>VALUE(LEFT(Presupuesto!$C10,3)&amp;0)</f>
        <v>6000</v>
      </c>
      <c r="C10" t="s">
        <v>0</v>
      </c>
      <c r="D10">
        <v>-40000</v>
      </c>
      <c r="E10">
        <v>-40000</v>
      </c>
      <c r="F10">
        <v>-40000</v>
      </c>
      <c r="G10">
        <v>-40000</v>
      </c>
      <c r="H10">
        <v>-40000</v>
      </c>
      <c r="I10">
        <v>-40000</v>
      </c>
      <c r="J10">
        <v>-40000</v>
      </c>
      <c r="K10">
        <v>-40000</v>
      </c>
      <c r="L10">
        <v>-40000</v>
      </c>
      <c r="M10">
        <v>-40000</v>
      </c>
      <c r="N10">
        <v>-40000</v>
      </c>
      <c r="O10">
        <v>-40000</v>
      </c>
    </row>
    <row r="11" spans="1:15" x14ac:dyDescent="0.75">
      <c r="A11" t="s">
        <v>31</v>
      </c>
      <c r="B11">
        <f>VALUE(LEFT(Presupuesto!$C11,3)&amp;0)</f>
        <v>6020</v>
      </c>
      <c r="C11" t="s">
        <v>1</v>
      </c>
      <c r="D11">
        <v>-448.15</v>
      </c>
      <c r="E11">
        <v>-1.99</v>
      </c>
      <c r="H11">
        <v>-78.010000000000005</v>
      </c>
      <c r="J11">
        <v>-64.349999999999994</v>
      </c>
      <c r="L11">
        <v>-185.81</v>
      </c>
      <c r="M11">
        <v>-134.63</v>
      </c>
      <c r="N11">
        <v>-51.16</v>
      </c>
      <c r="O11">
        <v>-64.02</v>
      </c>
    </row>
    <row r="12" spans="1:15" x14ac:dyDescent="0.75">
      <c r="A12" t="s">
        <v>31</v>
      </c>
      <c r="B12">
        <f>VALUE(LEFT(Presupuesto!$C12,3)&amp;0)</f>
        <v>6100</v>
      </c>
      <c r="C12" t="s">
        <v>2</v>
      </c>
      <c r="O12">
        <v>28530.26</v>
      </c>
    </row>
    <row r="13" spans="1:15" x14ac:dyDescent="0.75">
      <c r="A13" t="s">
        <v>31</v>
      </c>
      <c r="B13">
        <f>VALUE(LEFT(Presupuesto!$C13,3)&amp;0)</f>
        <v>6220</v>
      </c>
      <c r="C13" t="s">
        <v>3</v>
      </c>
      <c r="D13">
        <v>-90</v>
      </c>
      <c r="F13">
        <v>-45.6</v>
      </c>
      <c r="G13">
        <v>-34</v>
      </c>
      <c r="H13">
        <v>-173.9</v>
      </c>
      <c r="J13">
        <v>-409.45</v>
      </c>
      <c r="L13">
        <v>-561.37</v>
      </c>
      <c r="M13">
        <v>-670</v>
      </c>
    </row>
    <row r="14" spans="1:15" x14ac:dyDescent="0.75">
      <c r="A14" t="s">
        <v>31</v>
      </c>
      <c r="B14">
        <f>VALUE(LEFT(Presupuesto!$C14,3)&amp;0)</f>
        <v>6400</v>
      </c>
      <c r="C14" t="s">
        <v>14</v>
      </c>
      <c r="D14">
        <v>-7751.8159999999998</v>
      </c>
      <c r="E14">
        <v>-7751.8159999999998</v>
      </c>
      <c r="F14">
        <v>-8087.6790000000001</v>
      </c>
      <c r="G14">
        <v>-7830.1900000000005</v>
      </c>
      <c r="H14">
        <v>-7908.5640000000003</v>
      </c>
      <c r="I14">
        <v>-7908.5640000000003</v>
      </c>
      <c r="J14">
        <v>-8621.2979999999989</v>
      </c>
      <c r="K14">
        <v>-7909.8510000000006</v>
      </c>
      <c r="L14">
        <v>-7953.4439999999995</v>
      </c>
      <c r="M14">
        <v>-7899.5280000000002</v>
      </c>
      <c r="N14">
        <v>-7888.0190000000002</v>
      </c>
      <c r="O14">
        <v>-8560.0859999999993</v>
      </c>
    </row>
    <row r="15" spans="1:15" x14ac:dyDescent="0.75">
      <c r="A15" t="s">
        <v>31</v>
      </c>
      <c r="B15">
        <f>VALUE(LEFT(Presupuesto!$C15,3)&amp;0)</f>
        <v>6420</v>
      </c>
      <c r="C15" t="s">
        <v>15</v>
      </c>
      <c r="D15">
        <v>-183.149</v>
      </c>
      <c r="E15">
        <v>-180.63800000000003</v>
      </c>
      <c r="F15">
        <v>-183.149</v>
      </c>
      <c r="G15">
        <v>-213.708</v>
      </c>
      <c r="H15">
        <v>-197.48400000000001</v>
      </c>
      <c r="I15">
        <v>-245.10400000000001</v>
      </c>
      <c r="J15">
        <v>-246.76700000000002</v>
      </c>
      <c r="K15">
        <v>-246.76700000000002</v>
      </c>
      <c r="L15">
        <v>-193.21800000000002</v>
      </c>
      <c r="M15">
        <v>-121.62100000000001</v>
      </c>
      <c r="N15">
        <v>-228.79300000000001</v>
      </c>
      <c r="O15">
        <v>-236.26700000000002</v>
      </c>
    </row>
    <row r="16" spans="1:15" x14ac:dyDescent="0.75">
      <c r="A16" t="s">
        <v>31</v>
      </c>
      <c r="B16">
        <f>VALUE(LEFT(Presupuesto!$C16,3)&amp;0)</f>
        <v>6810</v>
      </c>
      <c r="C16" t="s">
        <v>21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-429.03880000000004</v>
      </c>
    </row>
    <row r="18" spans="1:15" x14ac:dyDescent="0.75">
      <c r="A18" t="s">
        <v>32</v>
      </c>
      <c r="B18">
        <f>VALUE(LEFT(Presupuesto!$C18,3)&amp;0)</f>
        <v>6230</v>
      </c>
      <c r="C18" t="s">
        <v>4</v>
      </c>
      <c r="D18">
        <v>-226.29</v>
      </c>
      <c r="E18">
        <v>-1129.8</v>
      </c>
      <c r="F18">
        <v>-640.52</v>
      </c>
      <c r="G18">
        <v>-790.75</v>
      </c>
      <c r="H18">
        <v>-525.94000000000005</v>
      </c>
      <c r="I18">
        <v>-440.4</v>
      </c>
      <c r="J18">
        <v>-440.4</v>
      </c>
      <c r="K18">
        <v>-440.4</v>
      </c>
      <c r="L18">
        <v>-440.4</v>
      </c>
      <c r="M18">
        <v>-729.5</v>
      </c>
      <c r="N18">
        <v>-440.4</v>
      </c>
      <c r="O18">
        <v>-440.4</v>
      </c>
    </row>
    <row r="19" spans="1:15" x14ac:dyDescent="0.75">
      <c r="A19" t="s">
        <v>32</v>
      </c>
      <c r="B19">
        <f>VALUE(LEFT(Presupuesto!$C19,3)&amp;0)</f>
        <v>6250</v>
      </c>
      <c r="C19" t="s">
        <v>6</v>
      </c>
      <c r="D19">
        <v>-643.11</v>
      </c>
      <c r="E19">
        <v>-1537.63</v>
      </c>
      <c r="F19">
        <v>181.28</v>
      </c>
      <c r="G19">
        <v>-535.22</v>
      </c>
      <c r="J19">
        <v>-535.22</v>
      </c>
      <c r="K19">
        <v>-1253.6600000000001</v>
      </c>
      <c r="M19">
        <v>-967.42</v>
      </c>
    </row>
    <row r="20" spans="1:15" x14ac:dyDescent="0.75">
      <c r="A20" t="s">
        <v>32</v>
      </c>
      <c r="B20">
        <f>VALUE(LEFT(Presupuesto!$C20,3)&amp;0)</f>
        <v>6260</v>
      </c>
      <c r="C20" t="s">
        <v>7</v>
      </c>
      <c r="D20">
        <v>-40.31</v>
      </c>
      <c r="E20">
        <v>-92.11</v>
      </c>
      <c r="F20">
        <v>-117.62</v>
      </c>
      <c r="G20">
        <v>-28.73</v>
      </c>
      <c r="H20">
        <v>-30.03</v>
      </c>
      <c r="I20">
        <v>-353.19</v>
      </c>
      <c r="J20">
        <v>-29.32</v>
      </c>
      <c r="K20">
        <v>-47.7</v>
      </c>
      <c r="L20">
        <v>-28.2</v>
      </c>
      <c r="M20">
        <v>-367.6</v>
      </c>
      <c r="N20">
        <v>-78.55</v>
      </c>
      <c r="O20">
        <v>-74.8</v>
      </c>
    </row>
    <row r="21" spans="1:15" x14ac:dyDescent="0.75">
      <c r="A21" t="s">
        <v>32</v>
      </c>
      <c r="B21">
        <f>VALUE(LEFT(Presupuesto!$C21,3)&amp;0)</f>
        <v>6300</v>
      </c>
      <c r="C21" t="s">
        <v>11</v>
      </c>
      <c r="O21">
        <v>-905.89</v>
      </c>
    </row>
    <row r="22" spans="1:15" x14ac:dyDescent="0.75">
      <c r="A22" t="s">
        <v>32</v>
      </c>
      <c r="B22">
        <f>VALUE(LEFT(Presupuesto!$C22,3)&amp;0)</f>
        <v>6310</v>
      </c>
      <c r="C22" t="s">
        <v>12</v>
      </c>
      <c r="H22">
        <v>-112</v>
      </c>
      <c r="J22">
        <v>-863.22</v>
      </c>
      <c r="M22">
        <v>-942.9</v>
      </c>
      <c r="O22">
        <v>4000</v>
      </c>
    </row>
    <row r="23" spans="1:15" x14ac:dyDescent="0.75">
      <c r="A23" t="s">
        <v>32</v>
      </c>
      <c r="B23">
        <f>VALUE(LEFT(Presupuesto!$C23,3)&amp;0)</f>
        <v>6380</v>
      </c>
      <c r="C23" t="s">
        <v>13</v>
      </c>
      <c r="O23">
        <v>1254.6400000000001</v>
      </c>
    </row>
    <row r="24" spans="1:15" x14ac:dyDescent="0.75">
      <c r="A24" t="s">
        <v>32</v>
      </c>
      <c r="B24">
        <f>VALUE(LEFT(Presupuesto!$C24,3)&amp;0)</f>
        <v>6400</v>
      </c>
      <c r="C24" t="s">
        <v>14</v>
      </c>
      <c r="D24">
        <v>-2751.8159999999998</v>
      </c>
      <c r="E24">
        <v>-2751.8159999999998</v>
      </c>
      <c r="F24">
        <v>-3087.6790000000001</v>
      </c>
      <c r="G24">
        <v>-2830.19</v>
      </c>
      <c r="H24">
        <v>-2908.5639999999999</v>
      </c>
      <c r="I24">
        <v>-2908.5639999999999</v>
      </c>
      <c r="J24">
        <v>-3621.2979999999998</v>
      </c>
      <c r="K24">
        <v>-2909.8510000000001</v>
      </c>
      <c r="L24">
        <v>-2953.444</v>
      </c>
      <c r="M24">
        <v>-2899.5280000000002</v>
      </c>
      <c r="N24">
        <v>-2888.0190000000002</v>
      </c>
      <c r="O24">
        <v>-3560.0860000000002</v>
      </c>
    </row>
    <row r="25" spans="1:15" x14ac:dyDescent="0.75">
      <c r="A25" t="s">
        <v>32</v>
      </c>
      <c r="B25">
        <f>VALUE(LEFT(Presupuesto!$C25,3)&amp;0)</f>
        <v>6420</v>
      </c>
      <c r="C25" t="s">
        <v>15</v>
      </c>
      <c r="D25">
        <v>-183.149</v>
      </c>
      <c r="E25">
        <v>-180.63800000000003</v>
      </c>
      <c r="F25">
        <v>-183.149</v>
      </c>
      <c r="G25">
        <v>-213.708</v>
      </c>
      <c r="H25">
        <v>-197.48400000000001</v>
      </c>
      <c r="I25">
        <v>-245.10400000000001</v>
      </c>
      <c r="J25">
        <v>-246.76700000000002</v>
      </c>
      <c r="K25">
        <v>-246.76700000000002</v>
      </c>
      <c r="L25">
        <v>-193.21800000000002</v>
      </c>
      <c r="M25">
        <v>-121.62100000000001</v>
      </c>
      <c r="N25">
        <v>-228.79300000000001</v>
      </c>
      <c r="O25">
        <v>-236.26700000000002</v>
      </c>
    </row>
    <row r="26" spans="1:15" x14ac:dyDescent="0.75">
      <c r="A26" t="s">
        <v>32</v>
      </c>
      <c r="B26">
        <f>VALUE(LEFT(Presupuesto!$C26,3)&amp;0)</f>
        <v>6590</v>
      </c>
      <c r="C26" t="s">
        <v>17</v>
      </c>
    </row>
    <row r="27" spans="1:15" x14ac:dyDescent="0.75">
      <c r="A27" t="s">
        <v>32</v>
      </c>
      <c r="B27">
        <f>VALUE(LEFT(Presupuesto!$C27,3)&amp;0)</f>
        <v>6620</v>
      </c>
      <c r="C27" t="s">
        <v>18</v>
      </c>
      <c r="D27">
        <v>-60.87</v>
      </c>
      <c r="E27">
        <v>-83.47</v>
      </c>
      <c r="F27">
        <v>-374.74</v>
      </c>
      <c r="G27">
        <v>-43.05</v>
      </c>
      <c r="H27">
        <v>-0.05</v>
      </c>
      <c r="I27">
        <v>-334.2</v>
      </c>
      <c r="K27">
        <v>-130.99</v>
      </c>
      <c r="M27">
        <v>-249.98</v>
      </c>
      <c r="N27">
        <v>-113.28</v>
      </c>
      <c r="O27">
        <v>-230.29</v>
      </c>
    </row>
    <row r="28" spans="1:15" x14ac:dyDescent="0.75">
      <c r="A28" t="s">
        <v>32</v>
      </c>
      <c r="B28">
        <f>VALUE(LEFT(Presupuesto!$C28,3)&amp;0)</f>
        <v>6650</v>
      </c>
      <c r="C28" t="s">
        <v>19</v>
      </c>
      <c r="D28">
        <v>-128.77000000000001</v>
      </c>
      <c r="E28">
        <v>-68.989999999999995</v>
      </c>
      <c r="F28">
        <v>-107.79</v>
      </c>
      <c r="G28">
        <v>-54.11</v>
      </c>
      <c r="H28">
        <v>-60.33</v>
      </c>
      <c r="I28">
        <v>-55.26</v>
      </c>
      <c r="J28">
        <v>-69.98</v>
      </c>
      <c r="K28">
        <v>-62.08</v>
      </c>
      <c r="L28">
        <v>-80.010000000000005</v>
      </c>
      <c r="M28">
        <v>-85.72</v>
      </c>
      <c r="N28">
        <v>-92.23</v>
      </c>
      <c r="O28">
        <v>-149.88</v>
      </c>
    </row>
    <row r="29" spans="1:15" x14ac:dyDescent="0.75">
      <c r="A29" t="s">
        <v>32</v>
      </c>
      <c r="B29">
        <v>6653</v>
      </c>
      <c r="C29" t="s">
        <v>19</v>
      </c>
    </row>
    <row r="30" spans="1:15" x14ac:dyDescent="0.75">
      <c r="A30" t="s">
        <v>32</v>
      </c>
      <c r="B30">
        <f>VALUE(LEFT(Presupuesto!$C30,3)&amp;0)</f>
        <v>6690</v>
      </c>
      <c r="C30" t="s">
        <v>20</v>
      </c>
      <c r="D30">
        <v>-111.44</v>
      </c>
      <c r="E30">
        <v>-405.02</v>
      </c>
      <c r="F30">
        <v>-48.71</v>
      </c>
      <c r="G30">
        <v>-204.76</v>
      </c>
      <c r="H30">
        <v>-506.61</v>
      </c>
      <c r="I30">
        <v>-46.99</v>
      </c>
      <c r="J30">
        <v>-385.54</v>
      </c>
      <c r="K30">
        <v>-342.42</v>
      </c>
      <c r="L30">
        <v>-10.4</v>
      </c>
      <c r="M30">
        <v>-359.02</v>
      </c>
      <c r="N30">
        <v>-35.700000000000003</v>
      </c>
      <c r="O30">
        <v>-11.92</v>
      </c>
    </row>
    <row r="31" spans="1:15" x14ac:dyDescent="0.75">
      <c r="A31" t="s">
        <v>32</v>
      </c>
      <c r="B31">
        <f>VALUE(LEFT(Presupuesto!$C31,3)&amp;0)</f>
        <v>6810</v>
      </c>
      <c r="C31" t="s">
        <v>21</v>
      </c>
      <c r="O31">
        <v>-4290.3879999999999</v>
      </c>
    </row>
    <row r="32" spans="1:15" x14ac:dyDescent="0.75">
      <c r="A32" t="s">
        <v>32</v>
      </c>
      <c r="B32">
        <f>VALUE(LEFT(Presupuesto!$C32,3)&amp;0)</f>
        <v>6220</v>
      </c>
      <c r="C32" t="s">
        <v>3</v>
      </c>
      <c r="D32">
        <v>-90</v>
      </c>
      <c r="F32">
        <v>-45.6</v>
      </c>
      <c r="G32">
        <v>-34</v>
      </c>
      <c r="H32">
        <v>-173.9</v>
      </c>
      <c r="J32">
        <v>-409.45</v>
      </c>
      <c r="L32">
        <v>-561.37</v>
      </c>
      <c r="M32">
        <v>-670</v>
      </c>
    </row>
    <row r="34" spans="1:15" x14ac:dyDescent="0.75">
      <c r="A34" t="s">
        <v>36</v>
      </c>
      <c r="B34">
        <f>VALUE(LEFT(Presupuesto!$C34,3)&amp;0)</f>
        <v>6240</v>
      </c>
      <c r="C34" t="s">
        <v>5</v>
      </c>
      <c r="D34">
        <v>-208.83</v>
      </c>
      <c r="E34">
        <v>-2057.79</v>
      </c>
      <c r="F34">
        <v>-1389.3</v>
      </c>
      <c r="G34">
        <v>-894.79</v>
      </c>
      <c r="H34">
        <v>-1444.32</v>
      </c>
      <c r="I34">
        <v>-3415.76</v>
      </c>
      <c r="J34">
        <v>-951.2</v>
      </c>
      <c r="K34">
        <v>-3574.93</v>
      </c>
      <c r="L34">
        <v>-1960.37</v>
      </c>
      <c r="M34">
        <v>-2839.64</v>
      </c>
      <c r="N34">
        <v>-2045.22</v>
      </c>
      <c r="O34">
        <v>-2721.58</v>
      </c>
    </row>
    <row r="35" spans="1:15" x14ac:dyDescent="0.75">
      <c r="A35" t="s">
        <v>36</v>
      </c>
      <c r="B35">
        <f>VALUE(LEFT(Presupuesto!$C35,3)&amp;0)</f>
        <v>6270</v>
      </c>
      <c r="C35" t="s">
        <v>8</v>
      </c>
      <c r="D35">
        <v>-804.29</v>
      </c>
      <c r="E35">
        <v>-5720.44</v>
      </c>
      <c r="F35">
        <v>-117.4</v>
      </c>
      <c r="G35">
        <v>-185</v>
      </c>
      <c r="H35">
        <v>-204.8</v>
      </c>
      <c r="I35">
        <v>-89.5</v>
      </c>
      <c r="J35">
        <v>-475.12</v>
      </c>
      <c r="L35">
        <v>-210</v>
      </c>
      <c r="M35">
        <v>-105</v>
      </c>
      <c r="N35">
        <v>-8303</v>
      </c>
      <c r="O35">
        <v>-1689.81</v>
      </c>
    </row>
    <row r="36" spans="1:15" x14ac:dyDescent="0.75">
      <c r="A36" t="s">
        <v>36</v>
      </c>
      <c r="B36">
        <f>VALUE(LEFT(Presupuesto!$C36,3)&amp;0)</f>
        <v>6290</v>
      </c>
      <c r="C36" t="s">
        <v>10</v>
      </c>
      <c r="F36">
        <v>-175</v>
      </c>
      <c r="O36">
        <v>-9.92</v>
      </c>
    </row>
    <row r="37" spans="1:15" x14ac:dyDescent="0.75">
      <c r="A37" t="s">
        <v>36</v>
      </c>
      <c r="B37">
        <f>VALUE(LEFT(Presupuesto!$C37,3)&amp;0)</f>
        <v>6400</v>
      </c>
      <c r="C37" t="s">
        <v>14</v>
      </c>
      <c r="D37">
        <v>-751.81600000000003</v>
      </c>
      <c r="E37">
        <v>-751.81600000000003</v>
      </c>
      <c r="F37">
        <v>-1087.6790000000001</v>
      </c>
      <c r="G37">
        <v>-830.19</v>
      </c>
      <c r="H37">
        <v>-908.56399999999996</v>
      </c>
      <c r="I37">
        <v>-908.56399999999996</v>
      </c>
      <c r="J37">
        <v>-1621.298</v>
      </c>
      <c r="K37">
        <v>-909.85100000000011</v>
      </c>
      <c r="L37">
        <v>-953.44400000000007</v>
      </c>
      <c r="M37">
        <v>-899.52800000000013</v>
      </c>
      <c r="N37">
        <v>-888.01900000000012</v>
      </c>
      <c r="O37">
        <v>-1560.0860000000002</v>
      </c>
    </row>
    <row r="38" spans="1:15" x14ac:dyDescent="0.75">
      <c r="A38" t="s">
        <v>36</v>
      </c>
      <c r="B38">
        <f>VALUE(LEFT(Presupuesto!$C38,3)&amp;0)</f>
        <v>6420</v>
      </c>
      <c r="C38" t="s">
        <v>15</v>
      </c>
      <c r="D38">
        <v>-183.149</v>
      </c>
      <c r="E38">
        <v>-180.63800000000003</v>
      </c>
      <c r="F38">
        <v>-183.149</v>
      </c>
      <c r="G38">
        <v>-213.708</v>
      </c>
      <c r="H38">
        <v>-197.48400000000001</v>
      </c>
      <c r="I38">
        <v>-245.10400000000001</v>
      </c>
      <c r="J38">
        <v>-246.76700000000002</v>
      </c>
      <c r="K38">
        <v>-246.76700000000002</v>
      </c>
      <c r="L38">
        <v>-193.21800000000002</v>
      </c>
      <c r="M38">
        <v>-121.62100000000001</v>
      </c>
      <c r="N38">
        <v>-228.79300000000001</v>
      </c>
      <c r="O38">
        <v>-236.26700000000002</v>
      </c>
    </row>
    <row r="39" spans="1:15" x14ac:dyDescent="0.75">
      <c r="A39" t="s">
        <v>36</v>
      </c>
      <c r="B39">
        <f>VALUE(LEFT(Presupuesto!$C39,3)&amp;0)</f>
        <v>6810</v>
      </c>
      <c r="C39" t="s">
        <v>21</v>
      </c>
      <c r="O39">
        <v>-4290.3879999999999</v>
      </c>
    </row>
    <row r="40" spans="1:15" x14ac:dyDescent="0.75">
      <c r="A40" t="s">
        <v>36</v>
      </c>
      <c r="B40">
        <f>VALUE(LEFT(Presupuesto!$C40,3)&amp;0)</f>
        <v>6220</v>
      </c>
      <c r="C40" t="s">
        <v>3</v>
      </c>
      <c r="D40">
        <v>-90</v>
      </c>
      <c r="F40">
        <v>-45.6</v>
      </c>
      <c r="G40">
        <v>-34</v>
      </c>
      <c r="H40">
        <v>-173.9</v>
      </c>
      <c r="J40">
        <v>-409.45</v>
      </c>
      <c r="L40">
        <v>-561.37</v>
      </c>
      <c r="M40">
        <v>-670</v>
      </c>
    </row>
    <row r="41" spans="1:15" x14ac:dyDescent="0.75">
      <c r="A41" t="s">
        <v>36</v>
      </c>
      <c r="B41">
        <f>VALUE(LEFT(Presupuesto!$C41,3)&amp;0)</f>
        <v>6280</v>
      </c>
      <c r="C41" t="s">
        <v>9</v>
      </c>
      <c r="D41">
        <v>-1074.55</v>
      </c>
      <c r="E41">
        <v>-792.97</v>
      </c>
      <c r="F41">
        <v>-416.79</v>
      </c>
      <c r="G41">
        <v>-1488.64</v>
      </c>
      <c r="H41">
        <v>-589.91999999999996</v>
      </c>
      <c r="I41">
        <v>-1148.21</v>
      </c>
      <c r="J41">
        <v>-829.76</v>
      </c>
      <c r="K41">
        <v>-897.21</v>
      </c>
      <c r="L41">
        <v>-329.99</v>
      </c>
      <c r="M41">
        <v>-1643.75</v>
      </c>
      <c r="N41">
        <v>-1151.3599999999999</v>
      </c>
      <c r="O41">
        <v>-1081.8499999999999</v>
      </c>
    </row>
    <row r="43" spans="1:15" x14ac:dyDescent="0.75">
      <c r="A43" t="s">
        <v>33</v>
      </c>
      <c r="B43">
        <f>VALUE(LEFT(Presupuesto!$C43,3)&amp;0)</f>
        <v>6400</v>
      </c>
      <c r="C43" t="s">
        <v>14</v>
      </c>
      <c r="D43">
        <v>-751.81600000000003</v>
      </c>
      <c r="E43">
        <v>-751.81600000000003</v>
      </c>
      <c r="F43">
        <v>-1087.6790000000001</v>
      </c>
      <c r="G43">
        <v>-830.19</v>
      </c>
      <c r="H43">
        <v>-908.56399999999996</v>
      </c>
      <c r="I43">
        <v>-908.56399999999996</v>
      </c>
      <c r="J43">
        <v>-1621.298</v>
      </c>
      <c r="K43">
        <v>-909.85100000000011</v>
      </c>
      <c r="L43">
        <v>-953.44400000000007</v>
      </c>
      <c r="M43">
        <v>-899.52800000000013</v>
      </c>
      <c r="N43">
        <v>-888.01900000000012</v>
      </c>
      <c r="O43">
        <v>-1560.0860000000002</v>
      </c>
    </row>
    <row r="44" spans="1:15" x14ac:dyDescent="0.75">
      <c r="A44" t="s">
        <v>33</v>
      </c>
      <c r="B44">
        <f>VALUE(LEFT(Presupuesto!$C44,3)&amp;0)</f>
        <v>6420</v>
      </c>
      <c r="C44" t="s">
        <v>15</v>
      </c>
      <c r="D44">
        <v>-183.149</v>
      </c>
      <c r="E44">
        <v>-180.63800000000003</v>
      </c>
      <c r="F44">
        <v>-183.149</v>
      </c>
      <c r="G44">
        <v>-213.708</v>
      </c>
      <c r="H44">
        <v>-197.48400000000001</v>
      </c>
      <c r="I44">
        <v>-245.10400000000001</v>
      </c>
      <c r="J44">
        <v>-246.76700000000002</v>
      </c>
      <c r="K44">
        <v>-246.76700000000002</v>
      </c>
      <c r="L44">
        <v>-193.21800000000002</v>
      </c>
      <c r="M44">
        <v>-121.62100000000001</v>
      </c>
      <c r="N44">
        <v>-228.79300000000001</v>
      </c>
      <c r="O44">
        <v>-236.26700000000002</v>
      </c>
    </row>
    <row r="45" spans="1:15" x14ac:dyDescent="0.75">
      <c r="A45" t="s">
        <v>33</v>
      </c>
      <c r="B45">
        <f>VALUE(LEFT(Presupuesto!$C45,3)&amp;0)</f>
        <v>6490</v>
      </c>
      <c r="C45" t="s">
        <v>16</v>
      </c>
      <c r="D45">
        <v>0</v>
      </c>
      <c r="E45">
        <v>0</v>
      </c>
      <c r="F45">
        <v>0</v>
      </c>
      <c r="G45">
        <v>0</v>
      </c>
      <c r="H45">
        <v>-43.236000000000004</v>
      </c>
      <c r="I45">
        <v>-19.5</v>
      </c>
      <c r="J45">
        <v>0</v>
      </c>
      <c r="K45">
        <v>0</v>
      </c>
      <c r="L45">
        <v>0</v>
      </c>
      <c r="M45">
        <v>0</v>
      </c>
      <c r="N45">
        <v>-41.425000000000004</v>
      </c>
      <c r="O45">
        <v>0</v>
      </c>
    </row>
    <row r="46" spans="1:15" x14ac:dyDescent="0.75">
      <c r="A46" t="s">
        <v>33</v>
      </c>
      <c r="B46">
        <f>VALUE(LEFT(Presupuesto!$C46,3)&amp;0)</f>
        <v>6810</v>
      </c>
      <c r="C46" t="s">
        <v>21</v>
      </c>
      <c r="O46">
        <v>-4290.3879999999999</v>
      </c>
    </row>
    <row r="47" spans="1:15" x14ac:dyDescent="0.75">
      <c r="A47" t="s">
        <v>33</v>
      </c>
      <c r="B47">
        <f>VALUE(LEFT(Presupuesto!$C47,3)&amp;0)</f>
        <v>6290</v>
      </c>
      <c r="C47" t="s">
        <v>10</v>
      </c>
      <c r="F47">
        <v>-175</v>
      </c>
      <c r="O47">
        <v>-9.92</v>
      </c>
    </row>
    <row r="49" spans="1:15" x14ac:dyDescent="0.75">
      <c r="A49" t="s">
        <v>35</v>
      </c>
      <c r="B49">
        <f>VALUE(LEFT(Presupuesto!$C49,3)&amp;0)</f>
        <v>6400</v>
      </c>
      <c r="C49" t="s">
        <v>14</v>
      </c>
      <c r="D49">
        <v>-751.81600000000003</v>
      </c>
      <c r="E49">
        <v>-751.81600000000003</v>
      </c>
      <c r="F49">
        <v>-1087.6790000000001</v>
      </c>
      <c r="G49">
        <v>-830.19</v>
      </c>
      <c r="H49">
        <v>-908.56399999999996</v>
      </c>
      <c r="I49">
        <v>-908.56399999999996</v>
      </c>
      <c r="J49">
        <v>-1621.298</v>
      </c>
      <c r="K49">
        <v>-909.85100000000011</v>
      </c>
      <c r="L49">
        <v>-953.44400000000007</v>
      </c>
      <c r="M49">
        <v>-899.52800000000013</v>
      </c>
      <c r="N49">
        <v>-888.01900000000012</v>
      </c>
      <c r="O49">
        <v>-1560.0860000000002</v>
      </c>
    </row>
    <row r="50" spans="1:15" x14ac:dyDescent="0.75">
      <c r="A50" t="s">
        <v>35</v>
      </c>
      <c r="B50">
        <f>VALUE(LEFT(Presupuesto!$C50,3)&amp;0)</f>
        <v>6420</v>
      </c>
      <c r="C50" t="s">
        <v>15</v>
      </c>
      <c r="D50">
        <v>-183.149</v>
      </c>
      <c r="E50">
        <v>-180.63800000000003</v>
      </c>
      <c r="F50">
        <v>-183.149</v>
      </c>
      <c r="G50">
        <v>-213.708</v>
      </c>
      <c r="H50">
        <v>-197.48400000000001</v>
      </c>
      <c r="I50">
        <v>-245.10400000000001</v>
      </c>
      <c r="J50">
        <v>-246.76700000000002</v>
      </c>
      <c r="K50">
        <v>-246.76700000000002</v>
      </c>
      <c r="L50">
        <v>-193.21800000000002</v>
      </c>
      <c r="M50">
        <v>-121.62100000000001</v>
      </c>
      <c r="N50">
        <v>-228.79300000000001</v>
      </c>
      <c r="O50">
        <v>-236.26700000000002</v>
      </c>
    </row>
    <row r="51" spans="1:15" x14ac:dyDescent="0.75">
      <c r="A51" t="s">
        <v>35</v>
      </c>
      <c r="B51">
        <f>VALUE(LEFT(Presupuesto!$C51,3)&amp;0)</f>
        <v>6290</v>
      </c>
      <c r="C51" t="s">
        <v>10</v>
      </c>
      <c r="F51">
        <v>-175</v>
      </c>
      <c r="O51">
        <v>-9.92</v>
      </c>
    </row>
    <row r="52" spans="1:15" x14ac:dyDescent="0.75">
      <c r="A52" t="s">
        <v>35</v>
      </c>
      <c r="B52">
        <f>VALUE(LEFT(Presupuesto!$C52,3)&amp;0)</f>
        <v>6810</v>
      </c>
      <c r="C52" t="s">
        <v>21</v>
      </c>
      <c r="O52">
        <v>-4290.3879999999999</v>
      </c>
    </row>
    <row r="53" spans="1:15" x14ac:dyDescent="0.75">
      <c r="A53" t="s">
        <v>35</v>
      </c>
      <c r="B53">
        <f>VALUE(LEFT(Presupuesto!$C53,3)&amp;0)</f>
        <v>6220</v>
      </c>
      <c r="C53" t="s">
        <v>3</v>
      </c>
      <c r="D53">
        <v>-90</v>
      </c>
      <c r="F53">
        <v>-45.6</v>
      </c>
      <c r="G53">
        <v>-34</v>
      </c>
      <c r="H53">
        <v>-173.9</v>
      </c>
      <c r="J53">
        <v>-409.45</v>
      </c>
      <c r="L53">
        <v>-561.37</v>
      </c>
      <c r="M53">
        <v>-670</v>
      </c>
    </row>
    <row r="54" spans="1:15" x14ac:dyDescent="0.75">
      <c r="A54" t="s">
        <v>35</v>
      </c>
      <c r="B54">
        <f>VALUE(LEFT(Presupuesto!$C54,3)&amp;0)</f>
        <v>6280</v>
      </c>
      <c r="C54" t="s">
        <v>9</v>
      </c>
      <c r="D54">
        <v>-1074.55</v>
      </c>
      <c r="E54">
        <v>-792.97</v>
      </c>
      <c r="F54">
        <v>-416.79</v>
      </c>
      <c r="G54">
        <v>-1488.64</v>
      </c>
      <c r="H54">
        <v>-589.91999999999996</v>
      </c>
      <c r="I54">
        <v>-1148.21</v>
      </c>
      <c r="J54">
        <v>-829.76</v>
      </c>
      <c r="K54">
        <v>-897.21</v>
      </c>
      <c r="L54">
        <v>-329.99</v>
      </c>
      <c r="M54">
        <v>-1643.75</v>
      </c>
      <c r="N54">
        <v>-1151.3599999999999</v>
      </c>
      <c r="O54">
        <v>-1081.8499999999999</v>
      </c>
    </row>
  </sheetData>
  <autoFilter ref="A3:O54" xr:uid="{FA6A7AA6-F3CC-456A-A128-F8E13FC1848C}"/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B528046A1D7649986AE8B7D2188F3E" ma:contentTypeVersion="12" ma:contentTypeDescription="Crear nuevo documento." ma:contentTypeScope="" ma:versionID="dfafa66c71f602f6282034ae9ac4a201">
  <xsd:schema xmlns:xsd="http://www.w3.org/2001/XMLSchema" xmlns:xs="http://www.w3.org/2001/XMLSchema" xmlns:p="http://schemas.microsoft.com/office/2006/metadata/properties" xmlns:ns2="1d028922-a944-480d-9e27-a9c0ce9e4dcb" xmlns:ns3="0de6af6b-b45b-4459-bedd-beb71e4dae69" targetNamespace="http://schemas.microsoft.com/office/2006/metadata/properties" ma:root="true" ma:fieldsID="b0f0c78c07151d3ba22b269fb794cea2" ns2:_="" ns3:_="">
    <xsd:import namespace="1d028922-a944-480d-9e27-a9c0ce9e4dcb"/>
    <xsd:import namespace="0de6af6b-b45b-4459-bedd-beb71e4dae6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028922-a944-480d-9e27-a9c0ce9e4dc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e0316926-e272-4302-89b0-5e160602c2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6af6b-b45b-4459-bedd-beb71e4dae6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028922-a944-480d-9e27-a9c0ce9e4dc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74664D-5245-4ADA-9306-5EBDA05EE2C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26E5578-573C-4140-816F-15E1F645BFB2}"/>
</file>

<file path=customXml/itemProps3.xml><?xml version="1.0" encoding="utf-8"?>
<ds:datastoreItem xmlns:ds="http://schemas.openxmlformats.org/officeDocument/2006/customXml" ds:itemID="{81FDE10B-5C16-46F5-8195-52D6EC810772}"/>
</file>

<file path=customXml/itemProps4.xml><?xml version="1.0" encoding="utf-8"?>
<ds:datastoreItem xmlns:ds="http://schemas.openxmlformats.org/officeDocument/2006/customXml" ds:itemID="{1C370305-83F6-410D-9F3C-68E0030350F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Pomares Medrano</dc:creator>
  <cp:lastModifiedBy>José Manuel Pomares Medrano</cp:lastModifiedBy>
  <dcterms:created xsi:type="dcterms:W3CDTF">2023-11-14T23:14:07Z</dcterms:created>
  <dcterms:modified xsi:type="dcterms:W3CDTF">2024-05-06T20:59:06Z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0x0101008DB528046A1D7649986AE8B7D2188F3E</vt:lpwstr>
  </property>
</Properties>
</file>