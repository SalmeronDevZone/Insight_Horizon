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ebextensions/taskpanes.xml" ContentType="application/vnd.ms-office.webextensiontaskpanes+xml"/>
  <Override PartName="/xl/webextensions/webextension1.xml" ContentType="application/vnd.ms-office.webextension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jmpom\Dropbox\2-Comercial\Serv _jornadas_gratuitas\2024-05 Valencia\JM\11_Presupuestos_y_PYG_DATASET\"/>
    </mc:Choice>
  </mc:AlternateContent>
  <xr:revisionPtr revIDLastSave="0" documentId="13_ncr:1_{0399BB3E-E95D-425D-B970-C7341DCD7AB0}" xr6:coauthVersionLast="47" xr6:coauthVersionMax="47" xr10:uidLastSave="{00000000-0000-0000-0000-000000000000}"/>
  <bookViews>
    <workbookView xWindow="-96" yWindow="-96" windowWidth="19632" windowHeight="12432" firstSheet="1" activeTab="1" xr2:uid="{3F621F13-9012-43B3-A1E3-B8626099D6E8}"/>
  </bookViews>
  <sheets>
    <sheet name="Hoja1" sheetId="1" state="hidden" r:id="rId1"/>
    <sheet name="Hoja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23" i="2" l="1" a="1"/>
  <c r="F23" i="2" s="1"/>
  <c r="F24" i="2" a="1"/>
  <c r="F24" i="2" s="1"/>
  <c r="F25" i="2" a="1"/>
  <c r="F25" i="2" s="1"/>
  <c r="F26" i="2" a="1"/>
  <c r="F26" i="2" s="1"/>
  <c r="F27" i="2" a="1"/>
  <c r="F27" i="2" s="1"/>
  <c r="F9" i="2" a="1"/>
  <c r="F9" i="2" s="1"/>
  <c r="F10" i="2" a="1"/>
  <c r="F10" i="2" s="1"/>
  <c r="F11" i="2" a="1"/>
  <c r="F11" i="2" s="1"/>
  <c r="F12" i="2" a="1"/>
  <c r="F12" i="2" s="1"/>
  <c r="F13" i="2" a="1"/>
  <c r="F13" i="2" s="1"/>
  <c r="F14" i="2" a="1"/>
  <c r="F14" i="2" s="1"/>
  <c r="F2" i="2" a="1"/>
  <c r="F2" i="2" s="1"/>
  <c r="F3" i="2" a="1"/>
  <c r="F3" i="2" s="1"/>
  <c r="F4" i="2" a="1"/>
  <c r="F4" i="2" s="1"/>
  <c r="F5" i="2" a="1"/>
  <c r="F5" i="2" s="1"/>
  <c r="F6" i="2" a="1"/>
  <c r="F6" i="2" s="1"/>
  <c r="F7" i="2" a="1"/>
  <c r="F7" i="2" s="1"/>
  <c r="F8" i="2" a="1"/>
  <c r="F8" i="2" s="1"/>
  <c r="F16" i="2" a="1"/>
  <c r="F16" i="2" s="1"/>
  <c r="F17" i="2" a="1"/>
  <c r="F17" i="2" s="1"/>
  <c r="F18" i="2" a="1"/>
  <c r="F18" i="2" s="1"/>
  <c r="F19" i="2" a="1"/>
  <c r="F19" i="2" s="1"/>
  <c r="F20" i="2" a="1"/>
  <c r="F20" i="2" s="1"/>
  <c r="F21" i="2" a="1"/>
  <c r="F21" i="2" s="1"/>
  <c r="F22" i="2" a="1"/>
  <c r="F22" i="2" s="1"/>
  <c r="F15" i="2" a="1"/>
  <c r="F15" i="2" s="1"/>
  <c r="H20" i="1"/>
  <c r="H7" i="1"/>
  <c r="H8" i="1"/>
  <c r="H6" i="1"/>
  <c r="H4" i="1"/>
  <c r="H14" i="1"/>
  <c r="H1" i="1"/>
  <c r="H2" i="1"/>
  <c r="H3" i="1"/>
  <c r="H5" i="1"/>
  <c r="H9" i="1"/>
  <c r="H10" i="1"/>
  <c r="H11" i="1"/>
  <c r="H12" i="1"/>
  <c r="H13" i="1"/>
  <c r="H15" i="1"/>
  <c r="H16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<sst xmlns="http://schemas.openxmlformats.org/spreadsheetml/2006/main" count="111" uniqueCount="69">
  <si>
    <t>700,701,702,703,704, 705,(706),(708),(709)</t>
  </si>
  <si>
    <t>1. Importe neto de la cifra de negocios.</t>
  </si>
  <si>
    <t>(6930), 71*, 7930</t>
  </si>
  <si>
    <t>2. Variación de existencias de productos terminados y en curso de fabricación.</t>
  </si>
  <si>
    <t>3. Trabajos realizados por la empresa para su activo.</t>
  </si>
  <si>
    <t>4. Aprovisionamientos.</t>
  </si>
  <si>
    <t>740, 747, 75</t>
  </si>
  <si>
    <t>5. Otros ingresos de explotación.</t>
  </si>
  <si>
    <t>6. Gastos de personal.</t>
  </si>
  <si>
    <t>(62), (631), (634), 636, 639, (65), (694), (695), 794, 7954</t>
  </si>
  <si>
    <t>7. Otros gastos de explotación.</t>
  </si>
  <si>
    <t>8. Amortización del inmovilizado.</t>
  </si>
  <si>
    <t>9. Imputación de subvenciones de inmovilizado no financiero y otras.</t>
  </si>
  <si>
    <t>7951, 7952, 7955</t>
  </si>
  <si>
    <t>10. Excesos de provisiones.</t>
  </si>
  <si>
    <t>11. Deterioro y resultado por enajenaciones del inmovilizado.</t>
  </si>
  <si>
    <t>A) RESULTADO DE EXPLOTACIÓN (1 + 2 + 3 + 4 + 5 + 6 + 7 + 8 + 9 + 10 + 11)</t>
  </si>
  <si>
    <t>760, 761, 762, 769</t>
  </si>
  <si>
    <t>12. Ingresos financieros.</t>
  </si>
  <si>
    <t>(660), (661), (662), (664), (665), (669)</t>
  </si>
  <si>
    <t>13. Gastos financieros.</t>
  </si>
  <si>
    <t>(663), 763</t>
  </si>
  <si>
    <t>14. Variación de valor razonable en instrumentos financieros.</t>
  </si>
  <si>
    <t>(668), 768</t>
  </si>
  <si>
    <t>15. Diferencias de cambio.</t>
  </si>
  <si>
    <t>16. Deterioro y resultado por enajenaciones de instrumentos financieros.</t>
  </si>
  <si>
    <t>B) RESULTADO FINANCIERO (12 + 13 + 14 + 15 + 16)</t>
  </si>
  <si>
    <t>C) RESULTADO ANTES DE IMPUESTOS (A + B)</t>
  </si>
  <si>
    <t>(6300)*, 6301*, (633), 638</t>
  </si>
  <si>
    <t>17. Impuestos sobre beneficios.</t>
  </si>
  <si>
    <t>D) RESULTADO DEL EJERCICIO (C + 17)</t>
  </si>
  <si>
    <t>INGRES</t>
  </si>
  <si>
    <t>GASTO--</t>
  </si>
  <si>
    <t>GASTO-+</t>
  </si>
  <si>
    <t>(600), (601), (602), 606, (607), 608, 609, 61*, (6931), (6932), (6933), 7931, 7932, 7933</t>
  </si>
  <si>
    <t>(670), (671), (672), (690), (691), (692), 770, 771, 772, 790, 791, 792</t>
  </si>
  <si>
    <t>(666), (667), (673), (675), (696), (697), (698), (699), 766, 773, 775, 796, 797, 798, 799</t>
  </si>
  <si>
    <t>ID</t>
  </si>
  <si>
    <t>Tipo interpretación</t>
  </si>
  <si>
    <t>pres</t>
  </si>
  <si>
    <t>real</t>
  </si>
  <si>
    <t>Interpretación INGRESO o RESULTADO 1</t>
  </si>
  <si>
    <t>Interpretación INGRESO o RESULTADO 2</t>
  </si>
  <si>
    <t>Interpretación INGRESO o RESULTADO 3</t>
  </si>
  <si>
    <t>Interpretación INGRESO o RESULTADO 4</t>
  </si>
  <si>
    <t>Interpretación INGRESO o RESULTADO 5</t>
  </si>
  <si>
    <t>Interpretación INGRESO o RESULTADO 6</t>
  </si>
  <si>
    <t>Interpretación INGRESO o RESULTADO 7</t>
  </si>
  <si>
    <t>Interpretación INGRESO o RESULTADO 8</t>
  </si>
  <si>
    <t>Interpretación INGRESO o RESULTADO 9</t>
  </si>
  <si>
    <t>Interpretación GASTO 1</t>
  </si>
  <si>
    <t>Interpretación GASTO 2</t>
  </si>
  <si>
    <t>Interpretación GASTO 3</t>
  </si>
  <si>
    <t>Interpretación GASTO 4</t>
  </si>
  <si>
    <t>Interpretación GASTO 5</t>
  </si>
  <si>
    <t>Interpretación GASTO 6</t>
  </si>
  <si>
    <t>Interpretación GASTO 7</t>
  </si>
  <si>
    <t>Interpretación GASTO 8</t>
  </si>
  <si>
    <t>Interpretación GASTO 9</t>
  </si>
  <si>
    <t>Interpretación INGRESO o RESULTADO 10</t>
  </si>
  <si>
    <t>Interpretación INGRESO o RESULTADO 11</t>
  </si>
  <si>
    <t>Interpretación INGRESO o RESULTADO 12</t>
  </si>
  <si>
    <t>Interpretación INGRESO o RESULTADO 13</t>
  </si>
  <si>
    <t>Interpretación GASTO 10</t>
  </si>
  <si>
    <t>Interpretación GASTO 11</t>
  </si>
  <si>
    <t>Interpretación GASTO 12</t>
  </si>
  <si>
    <t>Interpretación GASTO 13</t>
  </si>
  <si>
    <t>G</t>
  </si>
  <si>
    <t>IR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</si>
</sst>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2"/>
      <color rgb="FF000000"/>
      <name val="Arial Narrow"/>
      <family val="2"/>
    </font>
    <font>
      <b/>
      <sz val="12"/>
      <color rgb="FF000000"/>
      <name val="Arial Narrow"/>
      <family val="2"/>
    </font>
    <font>
      <sz val="12"/>
      <color theme="1"/>
      <name val="Aptos Narrow"/>
      <family val="2"/>
      <scheme val="minor"/>
    </font>
    <font>
      <b/>
      <sz val="12"/>
      <color rgb="FFC00000"/>
      <name val="Arial Narrow"/>
      <family val="2"/>
    </font>
    <font>
      <b/>
      <sz val="12"/>
      <color theme="8" tint="0.39997558519241921"/>
      <name val="Arial Narrow"/>
      <family val="2"/>
    </font>
    <font>
      <sz val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1">
    <xf numFmtId="0" fontId="0" fillId="0" borderId="0" xfId="0"/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0" xfId="0" applyFont="1"/>
    <xf numFmtId="0" fontId="3" fillId="0" borderId="0" xfId="0" applyFont="1" applyAlignment="1">
      <alignment vertical="center"/>
    </xf>
    <xf numFmtId="0" fontId="5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2" fillId="0" borderId="0" xfId="0" quotePrefix="1" applyFont="1" applyAlignment="1">
      <alignment horizontal="left" vertical="center"/>
    </xf>
    <xf numFmtId="0" fontId="5" fillId="0" borderId="0" xfId="0" applyFont="1" applyAlignment="1">
      <alignment horizontal="left" vertical="center"/>
    </xf>
    <xf numFmtId="0" fontId="2" fillId="0" borderId="0" xfId="0" applyFont="1" applyAlignment="1">
      <alignment horizontal="left" vertical="center"/>
    </xf>
    <xf numFmtId="0" fontId="6" fillId="0" borderId="0" xfId="0" applyFont="1" applyAlignment="1">
      <alignment horizontal="left" vertical="center"/>
    </xf>
    <xf numFmtId="0" fontId="3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left" vertical="center"/>
    </xf>
    <xf numFmtId="0" fontId="2" fillId="2" borderId="0" xfId="0" applyFont="1" applyFill="1" applyAlignment="1">
      <alignment horizontal="center" vertical="center"/>
    </xf>
    <xf numFmtId="9" fontId="4" fillId="0" borderId="0" xfId="0" applyNumberFormat="1" applyFont="1"/>
    <xf numFmtId="0" fontId="4" fillId="2" borderId="0" xfId="0" applyFont="1" applyFill="1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right"/>
    </xf>
    <xf numFmtId="10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eetMetadata" Target="metadata.xml"/><Relationship Id="rId11" Type="http://schemas.openxmlformats.org/officeDocument/2006/relationships/customXml" Target="../customXml/item4.xml"/><Relationship Id="rId5" Type="http://schemas.openxmlformats.org/officeDocument/2006/relationships/sharedStrings" Target="sharedStrings.xml"/><Relationship Id="rId10" Type="http://schemas.openxmlformats.org/officeDocument/2006/relationships/customXml" Target="../customXml/item3.xml"/><Relationship Id="rId4" Type="http://schemas.openxmlformats.org/officeDocument/2006/relationships/styles" Target="styles.xml"/><Relationship Id="rId9" Type="http://schemas.openxmlformats.org/officeDocument/2006/relationships/customXml" Target="../customXml/item2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682" row="9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5E7D0A82-0C2D-4007-99BF-5F662D4CAC5D}">
  <we:reference id="wa200003696" version="1.3.0.0" store="es-ES" storeType="OMEX"/>
  <we:alternateReferences>
    <we:reference id="wa200003696" version="1.3.0.0" store="" storeType="OMEX"/>
  </we:alternateReferences>
  <we:properties>
    <we:property name="projectV0_1-56c6e055-265e-4713-816e-a646dbb708de" value="{&quot;kind&quot;:&quot;AFEJSONBlobNode&quot;,&quot;id&quot;:&quot;{912D22A7-71BB-47BE-B266-3871F00A9D88}&quot;}"/>
  </we:properties>
  <we:bindings/>
  <we:snapshot xmlns:r="http://schemas.openxmlformats.org/officeDocument/2006/relationships"/>
  <we:extLst>
    <a:ext xmlns:a="http://schemas.openxmlformats.org/drawingml/2006/main" uri="{D87F86FE-615C-45B5-9D79-34F1136793EB}">
      <we:containsCustomFunctions/>
    </a:ext>
    <a:ext xmlns:a="http://schemas.openxmlformats.org/drawingml/2006/main" uri="{7C84B067-C214-45C3-A712-C9D94CD141B2}">
      <we:customFunctionIdList>
        <we:customFunctionIds>_xldudf_LABS_GENERATIVEAI</we:customFunctionIds>
      </we:customFunctionIdList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53E6BD-FBD0-45D9-BCB3-64D5167D5CA1}">
  <dimension ref="A1:H24"/>
  <sheetViews>
    <sheetView topLeftCell="B1" zoomScale="85" zoomScaleNormal="85" workbookViewId="0">
      <selection activeCell="H20" sqref="H20"/>
    </sheetView>
  </sheetViews>
  <sheetFormatPr baseColWidth="10" defaultColWidth="10.89453125" defaultRowHeight="15.6" x14ac:dyDescent="0.6"/>
  <cols>
    <col min="1" max="1" width="75" style="3" customWidth="1"/>
    <col min="2" max="2" width="68.5234375" style="3" bestFit="1" customWidth="1"/>
    <col min="3" max="16384" width="10.89453125" style="3"/>
  </cols>
  <sheetData>
    <row r="1" spans="1:8" x14ac:dyDescent="0.6">
      <c r="A1" s="1" t="s">
        <v>0</v>
      </c>
      <c r="B1" s="2" t="s">
        <v>1</v>
      </c>
      <c r="C1" s="7" t="s">
        <v>31</v>
      </c>
      <c r="D1" s="1">
        <v>1</v>
      </c>
      <c r="E1" s="1"/>
      <c r="H1" s="14" t="e">
        <f t="shared" ref="H1:H15" si="0">(G1-F1)/ABS(F1)</f>
        <v>#DIV/0!</v>
      </c>
    </row>
    <row r="2" spans="1:8" x14ac:dyDescent="0.6">
      <c r="A2" s="1" t="s">
        <v>2</v>
      </c>
      <c r="B2" s="2" t="s">
        <v>3</v>
      </c>
      <c r="C2" s="7" t="s">
        <v>31</v>
      </c>
      <c r="D2" s="1">
        <v>2</v>
      </c>
      <c r="E2" s="1"/>
      <c r="F2" s="13">
        <v>-10</v>
      </c>
      <c r="G2" s="15">
        <v>10</v>
      </c>
      <c r="H2" s="14">
        <f t="shared" si="0"/>
        <v>2</v>
      </c>
    </row>
    <row r="3" spans="1:8" x14ac:dyDescent="0.6">
      <c r="A3" s="1">
        <v>73</v>
      </c>
      <c r="B3" s="2" t="s">
        <v>4</v>
      </c>
      <c r="C3" s="7" t="s">
        <v>31</v>
      </c>
      <c r="D3" s="1">
        <v>3</v>
      </c>
      <c r="E3" s="1"/>
      <c r="H3" s="14" t="e">
        <f t="shared" si="0"/>
        <v>#DIV/0!</v>
      </c>
    </row>
    <row r="4" spans="1:8" x14ac:dyDescent="0.6">
      <c r="A4" s="1" t="s">
        <v>34</v>
      </c>
      <c r="B4" s="4" t="s">
        <v>5</v>
      </c>
      <c r="C4" s="8" t="s">
        <v>32</v>
      </c>
      <c r="D4" s="5">
        <v>4</v>
      </c>
      <c r="E4" s="1"/>
      <c r="F4" s="3">
        <v>-20</v>
      </c>
      <c r="G4" s="3">
        <v>-40</v>
      </c>
      <c r="H4" s="14">
        <f>(ABS(G4)-ABS(F4))/ABS(F4)</f>
        <v>1</v>
      </c>
    </row>
    <row r="5" spans="1:8" x14ac:dyDescent="0.6">
      <c r="A5" s="1" t="s">
        <v>6</v>
      </c>
      <c r="B5" s="2" t="s">
        <v>7</v>
      </c>
      <c r="C5" s="7" t="s">
        <v>31</v>
      </c>
      <c r="D5" s="1">
        <v>5</v>
      </c>
      <c r="E5" s="1"/>
      <c r="H5" s="14" t="e">
        <f t="shared" si="0"/>
        <v>#DIV/0!</v>
      </c>
    </row>
    <row r="6" spans="1:8" x14ac:dyDescent="0.6">
      <c r="A6" s="1">
        <v>-64</v>
      </c>
      <c r="B6" s="2" t="s">
        <v>8</v>
      </c>
      <c r="C6" s="8" t="s">
        <v>32</v>
      </c>
      <c r="D6" s="5">
        <v>6</v>
      </c>
      <c r="E6" s="1"/>
      <c r="H6" s="14" t="e">
        <f>(ABS(G6)-ABS(F6))/ABS(F6)</f>
        <v>#DIV/0!</v>
      </c>
    </row>
    <row r="7" spans="1:8" x14ac:dyDescent="0.6">
      <c r="A7" s="1" t="s">
        <v>9</v>
      </c>
      <c r="B7" s="2" t="s">
        <v>10</v>
      </c>
      <c r="C7" s="8" t="s">
        <v>32</v>
      </c>
      <c r="D7" s="5">
        <v>7</v>
      </c>
      <c r="E7" s="1"/>
      <c r="H7" s="14" t="e">
        <f t="shared" ref="H7:H8" si="1">(ABS(G7)-ABS(F7))/ABS(F7)</f>
        <v>#DIV/0!</v>
      </c>
    </row>
    <row r="8" spans="1:8" x14ac:dyDescent="0.6">
      <c r="A8" s="1">
        <v>-68</v>
      </c>
      <c r="B8" s="2" t="s">
        <v>11</v>
      </c>
      <c r="C8" s="8" t="s">
        <v>32</v>
      </c>
      <c r="D8" s="5">
        <v>8</v>
      </c>
      <c r="E8" s="1"/>
      <c r="H8" s="14" t="e">
        <f t="shared" si="1"/>
        <v>#DIV/0!</v>
      </c>
    </row>
    <row r="9" spans="1:8" x14ac:dyDescent="0.6">
      <c r="A9" s="1">
        <v>746</v>
      </c>
      <c r="B9" s="2" t="s">
        <v>12</v>
      </c>
      <c r="C9" s="7" t="s">
        <v>31</v>
      </c>
      <c r="D9" s="1">
        <v>9</v>
      </c>
      <c r="E9" s="1"/>
      <c r="H9" s="14" t="e">
        <f t="shared" si="0"/>
        <v>#DIV/0!</v>
      </c>
    </row>
    <row r="10" spans="1:8" x14ac:dyDescent="0.6">
      <c r="A10" s="1" t="s">
        <v>13</v>
      </c>
      <c r="B10" s="2" t="s">
        <v>14</v>
      </c>
      <c r="C10" s="7" t="s">
        <v>31</v>
      </c>
      <c r="D10" s="1">
        <v>10</v>
      </c>
      <c r="E10" s="1"/>
      <c r="H10" s="14" t="e">
        <f t="shared" si="0"/>
        <v>#DIV/0!</v>
      </c>
    </row>
    <row r="11" spans="1:8" x14ac:dyDescent="0.6">
      <c r="A11" s="1" t="s">
        <v>35</v>
      </c>
      <c r="B11" s="4" t="s">
        <v>15</v>
      </c>
      <c r="C11" s="9" t="s">
        <v>31</v>
      </c>
      <c r="D11" s="1">
        <v>11</v>
      </c>
      <c r="E11" s="1"/>
      <c r="H11" s="14" t="e">
        <f t="shared" si="0"/>
        <v>#DIV/0!</v>
      </c>
    </row>
    <row r="12" spans="1:8" x14ac:dyDescent="0.6">
      <c r="A12" s="1"/>
      <c r="B12" s="11" t="s">
        <v>16</v>
      </c>
      <c r="C12" s="12" t="s">
        <v>31</v>
      </c>
      <c r="D12" s="13">
        <v>12</v>
      </c>
      <c r="E12" s="1"/>
      <c r="F12" s="3">
        <v>-10</v>
      </c>
      <c r="G12" s="3">
        <v>-20</v>
      </c>
      <c r="H12" s="14">
        <f t="shared" si="0"/>
        <v>-1</v>
      </c>
    </row>
    <row r="13" spans="1:8" x14ac:dyDescent="0.6">
      <c r="A13" s="1" t="s">
        <v>17</v>
      </c>
      <c r="B13" s="2" t="s">
        <v>18</v>
      </c>
      <c r="C13" s="9" t="s">
        <v>31</v>
      </c>
      <c r="D13" s="1">
        <v>13</v>
      </c>
      <c r="E13" s="1"/>
      <c r="F13" s="15">
        <v>10</v>
      </c>
      <c r="G13" s="15">
        <v>20</v>
      </c>
      <c r="H13" s="14">
        <f t="shared" si="0"/>
        <v>1</v>
      </c>
    </row>
    <row r="14" spans="1:8" x14ac:dyDescent="0.6">
      <c r="A14" s="1" t="s">
        <v>19</v>
      </c>
      <c r="B14" s="2" t="s">
        <v>20</v>
      </c>
      <c r="C14" s="8" t="s">
        <v>32</v>
      </c>
      <c r="D14" s="5">
        <v>14</v>
      </c>
      <c r="E14" s="1"/>
      <c r="F14" s="3">
        <v>-20</v>
      </c>
      <c r="G14" s="3">
        <v>-10</v>
      </c>
      <c r="H14" s="14">
        <f>(ABS(G14)-ABS(F14))/ABS(F14)</f>
        <v>-0.5</v>
      </c>
    </row>
    <row r="15" spans="1:8" x14ac:dyDescent="0.6">
      <c r="A15" s="1" t="s">
        <v>21</v>
      </c>
      <c r="B15" s="2" t="s">
        <v>22</v>
      </c>
      <c r="C15" s="9" t="s">
        <v>31</v>
      </c>
      <c r="D15" s="1">
        <v>15</v>
      </c>
      <c r="E15" s="1"/>
      <c r="H15" s="14" t="e">
        <f t="shared" si="0"/>
        <v>#DIV/0!</v>
      </c>
    </row>
    <row r="16" spans="1:8" x14ac:dyDescent="0.6">
      <c r="A16" s="1" t="s">
        <v>23</v>
      </c>
      <c r="B16" s="2" t="s">
        <v>24</v>
      </c>
      <c r="C16" s="9" t="s">
        <v>31</v>
      </c>
      <c r="D16" s="1">
        <v>16</v>
      </c>
      <c r="E16" s="1"/>
      <c r="F16" s="3">
        <v>-5</v>
      </c>
      <c r="G16" s="3">
        <v>5</v>
      </c>
      <c r="H16" s="14">
        <f>(G16-F16)/ABS(F16)</f>
        <v>2</v>
      </c>
    </row>
    <row r="17" spans="1:8" x14ac:dyDescent="0.6">
      <c r="A17" s="1" t="s">
        <v>36</v>
      </c>
      <c r="B17" s="4" t="s">
        <v>25</v>
      </c>
      <c r="C17" s="9" t="s">
        <v>31</v>
      </c>
      <c r="D17" s="1">
        <v>17</v>
      </c>
      <c r="E17" s="1"/>
    </row>
    <row r="18" spans="1:8" x14ac:dyDescent="0.6">
      <c r="A18" s="1"/>
      <c r="B18" s="11" t="s">
        <v>26</v>
      </c>
      <c r="C18" s="12" t="s">
        <v>31</v>
      </c>
      <c r="D18" s="13">
        <v>18</v>
      </c>
      <c r="E18" s="1"/>
    </row>
    <row r="19" spans="1:8" x14ac:dyDescent="0.6">
      <c r="A19" s="1"/>
      <c r="B19" s="11" t="s">
        <v>27</v>
      </c>
      <c r="C19" s="12" t="s">
        <v>31</v>
      </c>
      <c r="D19" s="13">
        <v>19</v>
      </c>
      <c r="E19" s="1"/>
    </row>
    <row r="20" spans="1:8" x14ac:dyDescent="0.6">
      <c r="A20" s="1" t="s">
        <v>28</v>
      </c>
      <c r="B20" s="2" t="s">
        <v>29</v>
      </c>
      <c r="C20" s="10" t="s">
        <v>33</v>
      </c>
      <c r="D20" s="6">
        <v>20</v>
      </c>
      <c r="E20" s="1"/>
      <c r="F20" s="3">
        <v>10</v>
      </c>
      <c r="G20" s="3">
        <v>-10</v>
      </c>
      <c r="H20" s="14">
        <f>(G20-F20)/ABS(F20)*-1</f>
        <v>2</v>
      </c>
    </row>
    <row r="21" spans="1:8" x14ac:dyDescent="0.6">
      <c r="A21" s="1"/>
      <c r="B21" s="11" t="s">
        <v>30</v>
      </c>
      <c r="C21" s="12" t="s">
        <v>31</v>
      </c>
      <c r="D21" s="13">
        <v>21</v>
      </c>
      <c r="E21" s="1"/>
    </row>
    <row r="24" spans="1:8" x14ac:dyDescent="0.6">
      <c r="C24" s="3">
        <v>-10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59BD8E-8F17-4EAB-8816-D2EEDFE6362F}">
  <dimension ref="A1:F27"/>
  <sheetViews>
    <sheetView tabSelected="1" workbookViewId="0">
      <selection activeCell="A2" sqref="A2:A14"/>
    </sheetView>
  </sheetViews>
  <sheetFormatPr baseColWidth="10" defaultRowHeight="14.4" x14ac:dyDescent="0.55000000000000004"/>
  <cols>
    <col min="2" max="2" width="35.15625" customWidth="1"/>
  </cols>
  <sheetData>
    <row r="1" spans="1:6" x14ac:dyDescent="0.55000000000000004">
      <c r="A1" s="17" t="s">
        <v>37</v>
      </c>
      <c r="B1" s="18" t="s">
        <v>38</v>
      </c>
      <c r="C1" s="19" t="s">
        <v>39</v>
      </c>
      <c r="D1" s="19" t="s">
        <v>40</v>
      </c>
    </row>
    <row r="2" spans="1:6" x14ac:dyDescent="0.55000000000000004">
      <c r="A2" s="16" t="s">
        <v>68</v>
      </c>
      <c r="B2" t="s">
        <v>41</v>
      </c>
      <c r="C2">
        <v>10</v>
      </c>
      <c r="D2">
        <v>10</v>
      </c>
      <c r="F2" s="20" cm="1">
        <f t="array" ref="F2">_xlfn.SWITCH(
    TRUE(),
    AND(C2&lt;&gt;0,D2&lt;&gt;0), (D2-C2)/ABS(C2),
    C2 = D2, "",
    AND(C2 &lt;=0,D2 &gt;=0), 1,
    -1
)</f>
        <v>0</v>
      </c>
    </row>
    <row r="3" spans="1:6" x14ac:dyDescent="0.55000000000000004">
      <c r="A3" s="16" t="s">
        <v>68</v>
      </c>
      <c r="B3" t="s">
        <v>42</v>
      </c>
      <c r="C3">
        <v>10</v>
      </c>
      <c r="D3">
        <v>-10</v>
      </c>
      <c r="F3" s="20" cm="1">
        <f t="array" ref="F3">_xlfn.SWITCH(
    TRUE(),
    AND(C3&lt;&gt;0,D3&lt;&gt;0), (D3-C3)/ABS(C3),
    C3 = D3, "",
    AND(C3 &lt;=0,D3 &gt;=0), 1,
    -1
)</f>
        <v>-2</v>
      </c>
    </row>
    <row r="4" spans="1:6" x14ac:dyDescent="0.55000000000000004">
      <c r="A4" s="16" t="s">
        <v>68</v>
      </c>
      <c r="B4" t="s">
        <v>43</v>
      </c>
      <c r="C4">
        <v>-10</v>
      </c>
      <c r="D4">
        <v>-10</v>
      </c>
      <c r="F4" s="20" cm="1">
        <f t="array" ref="F4">_xlfn.SWITCH(
    TRUE(),
    AND(C4&lt;&gt;0,D4&lt;&gt;0), (D4-C4)/ABS(C4),
    C4 = D4, "",
    AND(C4 &lt;=0,D4 &gt;=0), 1,
    -1
)</f>
        <v>0</v>
      </c>
    </row>
    <row r="5" spans="1:6" x14ac:dyDescent="0.55000000000000004">
      <c r="A5" s="16" t="s">
        <v>68</v>
      </c>
      <c r="B5" t="s">
        <v>44</v>
      </c>
      <c r="C5">
        <v>-10</v>
      </c>
      <c r="D5">
        <v>10</v>
      </c>
      <c r="F5" s="20" cm="1">
        <f t="array" ref="F5">_xlfn.SWITCH(
    TRUE(),
    AND(C5&lt;&gt;0,D5&lt;&gt;0), (D5-C5)/ABS(C5),
    C5 = D5, "",
    AND(C5 &lt;=0,D5 &gt;=0), 1,
    -1
)</f>
        <v>2</v>
      </c>
    </row>
    <row r="6" spans="1:6" x14ac:dyDescent="0.55000000000000004">
      <c r="A6" s="16" t="s">
        <v>68</v>
      </c>
      <c r="B6" t="s">
        <v>45</v>
      </c>
      <c r="C6">
        <v>0</v>
      </c>
      <c r="D6">
        <v>10</v>
      </c>
      <c r="F6" s="20" cm="1">
        <f t="array" ref="F6">_xlfn.SWITCH(
    TRUE(),
    AND(C6&lt;&gt;0,D6&lt;&gt;0), (D6-C6)/ABS(C6),
    C6 = D6, "",
    AND(C6 &lt;=0,D6 &gt;=0), 1,
    -1
)</f>
        <v>1</v>
      </c>
    </row>
    <row r="7" spans="1:6" x14ac:dyDescent="0.55000000000000004">
      <c r="A7" s="16" t="s">
        <v>68</v>
      </c>
      <c r="B7" t="s">
        <v>46</v>
      </c>
      <c r="C7">
        <v>0</v>
      </c>
      <c r="D7">
        <v>-10</v>
      </c>
      <c r="F7" s="20" cm="1">
        <f t="array" ref="F7">_xlfn.SWITCH(
    TRUE(),
    AND(C7&lt;&gt;0,D7&lt;&gt;0), (D7-C7)/ABS(C7),
    C7 = D7, "",
    AND(C7 &lt;=0,D7 &gt;=0), 1,
    -1
)</f>
        <v>-1</v>
      </c>
    </row>
    <row r="8" spans="1:6" x14ac:dyDescent="0.55000000000000004">
      <c r="A8" s="16" t="s">
        <v>68</v>
      </c>
      <c r="B8" t="s">
        <v>47</v>
      </c>
      <c r="C8">
        <v>10</v>
      </c>
      <c r="D8">
        <v>0</v>
      </c>
      <c r="F8" s="20" cm="1">
        <f t="array" ref="F8">_xlfn.SWITCH(
    TRUE(),
    AND(C8&lt;&gt;0,D8&lt;&gt;0), (D8-C8)/ABS(C8),
    C8 = D8, "",
    AND(C8 &lt;=0,D8 &gt;=0), 1,
    -1
)</f>
        <v>-1</v>
      </c>
    </row>
    <row r="9" spans="1:6" x14ac:dyDescent="0.55000000000000004">
      <c r="A9" s="16" t="s">
        <v>68</v>
      </c>
      <c r="B9" t="s">
        <v>48</v>
      </c>
      <c r="C9">
        <v>-10</v>
      </c>
      <c r="D9">
        <v>0</v>
      </c>
      <c r="F9" s="20" cm="1">
        <f t="array" ref="F9">_xlfn.SWITCH(
    TRUE(),
    AND(C9&lt;&gt;0,D9&lt;&gt;0), (D9-C9)/ABS(C9),
    C9 = D9, "",
    AND(C9 &lt;=0,D9 &gt;=0), 1,
    -1
)</f>
        <v>1</v>
      </c>
    </row>
    <row r="10" spans="1:6" x14ac:dyDescent="0.55000000000000004">
      <c r="A10" s="16" t="s">
        <v>68</v>
      </c>
      <c r="B10" t="s">
        <v>49</v>
      </c>
      <c r="C10">
        <v>0</v>
      </c>
      <c r="D10">
        <v>0</v>
      </c>
      <c r="F10" s="20" t="str" cm="1">
        <f t="array" ref="F10">_xlfn.SWITCH(
    TRUE(),
    AND(C10&lt;&gt;0,D10&lt;&gt;0), (D10-C10)/ABS(C10),
    C10 = D10, "",
    AND(C10 &lt;=0,D10 &gt;=0), 1,
    -1
)</f>
        <v/>
      </c>
    </row>
    <row r="11" spans="1:6" x14ac:dyDescent="0.55000000000000004">
      <c r="A11" s="16" t="s">
        <v>68</v>
      </c>
      <c r="B11" t="s">
        <v>59</v>
      </c>
      <c r="C11">
        <v>10</v>
      </c>
      <c r="D11">
        <v>5</v>
      </c>
      <c r="F11" s="20" cm="1">
        <f t="array" ref="F11">_xlfn.SWITCH(
    TRUE(),
    AND(C11&lt;&gt;0,D11&lt;&gt;0), (D11-C11)/ABS(C11),
    C11 = D11, "",
    AND(C11 &lt;=0,D11 &gt;=0), 1,
    -1
)</f>
        <v>-0.5</v>
      </c>
    </row>
    <row r="12" spans="1:6" x14ac:dyDescent="0.55000000000000004">
      <c r="A12" s="16" t="s">
        <v>68</v>
      </c>
      <c r="B12" t="s">
        <v>60</v>
      </c>
      <c r="C12">
        <v>5</v>
      </c>
      <c r="D12">
        <v>10</v>
      </c>
      <c r="F12" s="20" cm="1">
        <f t="array" ref="F12">_xlfn.SWITCH(
    TRUE(),
    AND(C12&lt;&gt;0,D12&lt;&gt;0), (D12-C12)/ABS(C12),
    C12 = D12, "",
    AND(C12 &lt;=0,D12 &gt;=0), 1,
    -1
)</f>
        <v>1</v>
      </c>
    </row>
    <row r="13" spans="1:6" x14ac:dyDescent="0.55000000000000004">
      <c r="A13" s="16" t="s">
        <v>68</v>
      </c>
      <c r="B13" t="s">
        <v>61</v>
      </c>
      <c r="C13">
        <v>-10</v>
      </c>
      <c r="D13">
        <v>-5</v>
      </c>
      <c r="F13" s="20" cm="1">
        <f t="array" ref="F13">_xlfn.SWITCH(
    TRUE(),
    AND(C13&lt;&gt;0,D13&lt;&gt;0), (D13-C13)/ABS(C13),
    C13 = D13, "",
    AND(C13 &lt;=0,D13 &gt;=0), 1,
    -1
)</f>
        <v>0.5</v>
      </c>
    </row>
    <row r="14" spans="1:6" x14ac:dyDescent="0.55000000000000004">
      <c r="A14" s="16" t="s">
        <v>68</v>
      </c>
      <c r="B14" t="s">
        <v>62</v>
      </c>
      <c r="C14">
        <v>-5</v>
      </c>
      <c r="D14">
        <v>-10</v>
      </c>
      <c r="F14" s="20" cm="1">
        <f t="array" ref="F14">_xlfn.SWITCH(
    TRUE(),
    AND(C14&lt;&gt;0,D14&lt;&gt;0), (D14-C14)/ABS(C14),
    C14 = D14, "",
    AND(C14 &lt;=0,D14 &gt;=0), 1,
    -1
)</f>
        <v>-1</v>
      </c>
    </row>
    <row r="15" spans="1:6" x14ac:dyDescent="0.55000000000000004">
      <c r="A15" s="16" t="s">
        <v>67</v>
      </c>
      <c r="B15" t="s">
        <v>50</v>
      </c>
      <c r="C15">
        <v>10</v>
      </c>
      <c r="D15">
        <v>10</v>
      </c>
      <c r="F15" s="20" cm="1">
        <f t="array" ref="F15">_xlfn.SWITCH(
    TRUE(),
    AND(C15&lt;&gt;0,D15&lt;&gt;0), (D15-C15)/ABS(C15)*-1,
    C15 = D15, "",
    AND(C15 &lt;=0,D15 &gt;=0), -1,
    1
)</f>
        <v>0</v>
      </c>
    </row>
    <row r="16" spans="1:6" x14ac:dyDescent="0.55000000000000004">
      <c r="A16" s="16" t="s">
        <v>67</v>
      </c>
      <c r="B16" t="s">
        <v>51</v>
      </c>
      <c r="C16">
        <v>10</v>
      </c>
      <c r="D16">
        <v>-10</v>
      </c>
      <c r="F16" s="20" cm="1">
        <f t="array" ref="F16">_xlfn.SWITCH(
    TRUE(),
    AND(C16&lt;&gt;0,D16&lt;&gt;0), (D16-C16)/ABS(C16)*-1,
    C16 = D16, "",
    AND(C16 &lt;=0,D16 &gt;=0), -1,
    1
)</f>
        <v>2</v>
      </c>
    </row>
    <row r="17" spans="1:6" x14ac:dyDescent="0.55000000000000004">
      <c r="A17" s="16" t="s">
        <v>67</v>
      </c>
      <c r="B17" t="s">
        <v>52</v>
      </c>
      <c r="C17">
        <v>-10</v>
      </c>
      <c r="D17">
        <v>-10</v>
      </c>
      <c r="F17" s="20" cm="1">
        <f t="array" ref="F17">_xlfn.SWITCH(
    TRUE(),
    AND(C17&lt;&gt;0,D17&lt;&gt;0), (D17-C17)/ABS(C17)*-1,
    C17 = D17, "",
    AND(C17 &lt;=0,D17 &gt;=0), -1,
    1
)</f>
        <v>0</v>
      </c>
    </row>
    <row r="18" spans="1:6" x14ac:dyDescent="0.55000000000000004">
      <c r="A18" s="16" t="s">
        <v>67</v>
      </c>
      <c r="B18" t="s">
        <v>53</v>
      </c>
      <c r="C18">
        <v>-10</v>
      </c>
      <c r="D18">
        <v>10</v>
      </c>
      <c r="F18" s="20" cm="1">
        <f t="array" ref="F18">_xlfn.SWITCH(
    TRUE(),
    AND(C18&lt;&gt;0,D18&lt;&gt;0), (D18-C18)/ABS(C18)*-1,
    C18 = D18, "",
    AND(C18 &lt;=0,D18 &gt;=0), -1,
    1
)</f>
        <v>-2</v>
      </c>
    </row>
    <row r="19" spans="1:6" x14ac:dyDescent="0.55000000000000004">
      <c r="A19" s="16" t="s">
        <v>67</v>
      </c>
      <c r="B19" t="s">
        <v>54</v>
      </c>
      <c r="C19">
        <v>0</v>
      </c>
      <c r="D19">
        <v>10</v>
      </c>
      <c r="F19" s="20" cm="1">
        <f t="array" ref="F19">_xlfn.SWITCH(
    TRUE(),
    AND(C19&lt;&gt;0,D19&lt;&gt;0), (D19-C19)/ABS(C19)*-1,
    C19 = D19, "",
    AND(C19 &lt;=0,D19 &gt;=0), -1,
    1
)</f>
        <v>-1</v>
      </c>
    </row>
    <row r="20" spans="1:6" x14ac:dyDescent="0.55000000000000004">
      <c r="A20" s="16" t="s">
        <v>67</v>
      </c>
      <c r="B20" t="s">
        <v>55</v>
      </c>
      <c r="C20">
        <v>0</v>
      </c>
      <c r="D20">
        <v>-10</v>
      </c>
      <c r="F20" s="20" cm="1">
        <f t="array" ref="F20">_xlfn.SWITCH(
    TRUE(),
    AND(C20&lt;&gt;0,D20&lt;&gt;0), (D20-C20)/ABS(C20)*-1,
    C20 = D20, "",
    AND(C20 &lt;=0,D20 &gt;=0), -1,
    1
)</f>
        <v>1</v>
      </c>
    </row>
    <row r="21" spans="1:6" x14ac:dyDescent="0.55000000000000004">
      <c r="A21" s="16" t="s">
        <v>67</v>
      </c>
      <c r="B21" t="s">
        <v>56</v>
      </c>
      <c r="C21">
        <v>10</v>
      </c>
      <c r="D21">
        <v>0</v>
      </c>
      <c r="F21" s="20" cm="1">
        <f t="array" ref="F21">_xlfn.SWITCH(
    TRUE(),
    AND(C21&lt;&gt;0,D21&lt;&gt;0), (D21-C21)/ABS(C21)*-1,
    C21 = D21, "",
    AND(C21 &lt;=0,D21 &gt;=0), -1,
    1
)</f>
        <v>1</v>
      </c>
    </row>
    <row r="22" spans="1:6" x14ac:dyDescent="0.55000000000000004">
      <c r="A22" s="16" t="s">
        <v>67</v>
      </c>
      <c r="B22" t="s">
        <v>57</v>
      </c>
      <c r="C22">
        <v>-10</v>
      </c>
      <c r="D22">
        <v>0</v>
      </c>
      <c r="F22" s="20" cm="1">
        <f t="array" ref="F22">_xlfn.SWITCH(
    TRUE(),
    AND(C22&lt;&gt;0,D22&lt;&gt;0), (D22-C22)/ABS(C22)*-1,
    C22 = D22, "",
    AND(C22 &lt;=0,D22 &gt;=0), -1,
    1
)</f>
        <v>-1</v>
      </c>
    </row>
    <row r="23" spans="1:6" x14ac:dyDescent="0.55000000000000004">
      <c r="A23" s="16" t="s">
        <v>67</v>
      </c>
      <c r="B23" t="s">
        <v>58</v>
      </c>
      <c r="C23">
        <v>0</v>
      </c>
      <c r="D23">
        <v>0</v>
      </c>
      <c r="F23" s="20" t="str" cm="1">
        <f t="array" ref="F23">_xlfn.SWITCH(
    TRUE(),
    AND(C23&lt;&gt;0,D23&lt;&gt;0), (D23-C23)/ABS(C23)*-1,
    C23 = D23, "",
    AND(C23 &lt;=0,D23 &gt;=0), -1,
    1
)</f>
        <v/>
      </c>
    </row>
    <row r="24" spans="1:6" x14ac:dyDescent="0.55000000000000004">
      <c r="A24" s="16" t="s">
        <v>67</v>
      </c>
      <c r="B24" t="s">
        <v>63</v>
      </c>
      <c r="C24">
        <v>10</v>
      </c>
      <c r="D24">
        <v>5</v>
      </c>
      <c r="F24" s="20" cm="1">
        <f t="array" ref="F24">_xlfn.SWITCH(
    TRUE(),
    AND(C24&lt;&gt;0,D24&lt;&gt;0), (D24-C24)/ABS(C24)*-1,
    C24 = D24, "",
    AND(C24 &lt;=0,D24 &gt;=0), -1,
    1
)</f>
        <v>0.5</v>
      </c>
    </row>
    <row r="25" spans="1:6" x14ac:dyDescent="0.55000000000000004">
      <c r="A25" s="16" t="s">
        <v>67</v>
      </c>
      <c r="B25" t="s">
        <v>64</v>
      </c>
      <c r="C25">
        <v>5</v>
      </c>
      <c r="D25">
        <v>10</v>
      </c>
      <c r="F25" s="20" cm="1">
        <f t="array" ref="F25">_xlfn.SWITCH(
    TRUE(),
    AND(C25&lt;&gt;0,D25&lt;&gt;0), (D25-C25)/ABS(C25)*-1,
    C25 = D25, "",
    AND(C25 &lt;=0,D25 &gt;=0), -1,
    1
)</f>
        <v>-1</v>
      </c>
    </row>
    <row r="26" spans="1:6" x14ac:dyDescent="0.55000000000000004">
      <c r="A26" s="16" t="s">
        <v>67</v>
      </c>
      <c r="B26" t="s">
        <v>65</v>
      </c>
      <c r="C26">
        <v>-10</v>
      </c>
      <c r="D26">
        <v>-5</v>
      </c>
      <c r="F26" s="20" cm="1">
        <f t="array" ref="F26">_xlfn.SWITCH(
    TRUE(),
    AND(C26&lt;&gt;0,D26&lt;&gt;0), (D26-C26)/ABS(C26)*-1,
    C26 = D26, "",
    AND(C26 &lt;=0,D26 &gt;=0), -1,
    1
)</f>
        <v>-0.5</v>
      </c>
    </row>
    <row r="27" spans="1:6" x14ac:dyDescent="0.55000000000000004">
      <c r="A27" s="16" t="s">
        <v>67</v>
      </c>
      <c r="B27" t="s">
        <v>66</v>
      </c>
      <c r="C27">
        <v>-5</v>
      </c>
      <c r="D27">
        <v>-10</v>
      </c>
      <c r="F27" s="20" cm="1">
        <f t="array" ref="F27">_xlfn.SWITCH(
    TRUE(),
    AND(C27&lt;&gt;0,D27&lt;&gt;0), (D27-C27)/ABS(C27)*-1,
    C27 = D27, "",
    AND(C27 &lt;=0,D27 &gt;=0), -1,
    1
)</f>
        <v>1</v>
      </c>
    </row>
  </sheetData>
  <phoneticPr fontId="7" type="noConversion"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AFEJSONBlob xmlns="http://schemas.advancedformulaenvironment.officeapps.live.com/afejsonblob/1.0">ewAiAHMAYwBoAGUAbQBhACIAOgAiAGgAdAB0AHAAOgAvAC8AcwBjAGgAZQBtAGEAcwAuAGEAZAB2AGEAbgBjAGUAZABmAG8AcgBtAHUAbABhAGUAbgB2AGkAcgBvAG4AbQBlAG4AdAAuAG8AZgBmAGkAYwBlAGEAcABwAHMALgBsAGkAdgBlAC4AYwBvAG0ALwBhAGYAZQBwAHIAbwBqAGUAYwB0AHMALwAwAC4AMgAiACwAIgBmAGkAbABlAHMAIgA6AFsAewAiAHAAYQB0AGgAIgA6ACIALwBwAHIAbwBqAGUAYwB0AHMALwBXAG8AcgBrAGIAbwBvAGsAIgAsACIAdABlAHgAdAAiADoAIgAvAC8AIAAtAC0ALQAgAFcAbwByAGsAYgBvAG8AawAgAG0AbwBkAHUAbABlACAALQAtAC0AXABuAC8ALwAgAEEAIABmAGkAbABlACAAbwBmACAAbgBhAG0AZQAgAGQAZQBmAGkAbgBpAHQAaQBvAG4AcwAgAG8AZgAgAHQAaABlACAAZgBvAHIAbQA6AFwAbgAvAC8AIAAgACAAIABuAGEAbQBlACAAPQAgAGQAZQBmAGkAbgBpAHQAaQBvAG4AOwA7AFwAbgAiAH0AXQAsACIAcAByAG8AagBlAGMAdABOAGEAbQBlAHMAIgA6AFsAXQAsACIAbABvAGMAYQBsAGUAIgA6AHsAIgBsAGkAcwB0AFMAZQBwAGEAcgBhAHQAbwByACIAOgAiADsAIgAsACIAcgBvAHcAUwBlAHAAYQByAGEAdABvAHIAIgA6ACIAOwAiACwAIgBjAG8AbAB1AG0AbgBTAGUAcABhAHIAYQB0AG8AcgAiADoAIgBcAFwAIgAsACIAdABoAG8AdQBzAGEAbgBkAHMAUwBlAHAAYQByAGEAdABvAHIAIgA6ACIALgAiACwAIgB0AGgAbwB1AHMAYQBuAGQAcwBQAG8AcwBpAHQAaQBvAG4AcwAiADoAWwAzAF0ALAAiAGQAZQBjAGkAbQBhAGwAUwBlAHAAYQByAGEAdABvAHIAIgA6ACIALAAiACwAIgBkAGEAdABlAE8AcgBkAGUAcgAiADoAIgBEAE0AWQAiACwAIgBjAHUAcgByAGUAbgBjAHkAUwB5AG0AYgBvAGwAIgA6ACIArCAiACwAIgBpAHMAQwB1AHIAcgBlAG4AYwB5AFMAeQBtAGIAbwBsAEwAZQBhAGQAIgA6AGYAYQBsAHMAZQAsACIAaQBzAEMAdQByAHIAZQBuAGMAeQBTAGUAcABCAHkAUwBwAGEAYwBlACIAOgB0AHIAdQBlACwAIgByAG8AdwBMAGUAdAB0AGUAcgAiADoAIgBGACIALAAiAGMAbwBsAHUAbQBuAEwAZQB0AHQAZQByACIAOgAiAEMAIgAsACIAcgBjAEwAZQBmAHQAQgByAGEAYwBrAGUAdAAiADoAIgBbACIALAAiAHIAYwBSAGkAZwBoAHQAQgByAGEAYwBrAGUAdAAiADoAIgBdACIALAAiAHMAdABhAHQAZQBtAGUAbgB0AFMAZQBwAGEAcgBhAHQAbwByACIAOgAiADsAOwAiACwAIgBsAG8AYwBhAGwAZQBOAGEAbQBlACIAOgAiAGUAcwAtAGUAcwAiAH0AfQA=</AFEJSONBlob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8DB528046A1D7649986AE8B7D2188F3E" ma:contentTypeVersion="12" ma:contentTypeDescription="Crear nuevo documento." ma:contentTypeScope="" ma:versionID="dfafa66c71f602f6282034ae9ac4a201">
  <xsd:schema xmlns:xsd="http://www.w3.org/2001/XMLSchema" xmlns:xs="http://www.w3.org/2001/XMLSchema" xmlns:p="http://schemas.microsoft.com/office/2006/metadata/properties" xmlns:ns2="1d028922-a944-480d-9e27-a9c0ce9e4dcb" xmlns:ns3="0de6af6b-b45b-4459-bedd-beb71e4dae69" targetNamespace="http://schemas.microsoft.com/office/2006/metadata/properties" ma:root="true" ma:fieldsID="b0f0c78c07151d3ba22b269fb794cea2" ns2:_="" ns3:_="">
    <xsd:import namespace="1d028922-a944-480d-9e27-a9c0ce9e4dcb"/>
    <xsd:import namespace="0de6af6b-b45b-4459-bedd-beb71e4dae69"/>
    <xsd:element name="properties">
      <xsd:complexType>
        <xsd:sequence>
          <xsd:element name="documentManagement">
            <xsd:complexType>
              <xsd:all>
                <xsd:element ref="ns2:lcf76f155ced4ddcb4097134ff3c332f" minOccurs="0"/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OCR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028922-a944-480d-9e27-a9c0ce9e4dcb" elementFormDefault="qualified">
    <xsd:import namespace="http://schemas.microsoft.com/office/2006/documentManagement/types"/>
    <xsd:import namespace="http://schemas.microsoft.com/office/infopath/2007/PartnerControls"/>
    <xsd:element name="lcf76f155ced4ddcb4097134ff3c332f" ma:index="9" nillable="true" ma:taxonomy="true" ma:internalName="lcf76f155ced4ddcb4097134ff3c332f" ma:taxonomyFieldName="MediaServiceImageTags" ma:displayName="Etiquetas de imagen" ma:readOnly="false" ma:fieldId="{5cf76f15-5ced-4ddc-b409-7134ff3c332f}" ma:taxonomyMulti="true" ma:sspId="e0316926-e272-4302-89b0-5e160602c2e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Metadata" ma:index="10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1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e6af6b-b45b-4459-bedd-beb71e4dae69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1d028922-a944-480d-9e27-a9c0ce9e4dcb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912D22A7-71BB-47BE-B266-3871F00A9D88}">
  <ds:schemaRefs>
    <ds:schemaRef ds:uri="http://schemas.advancedformulaenvironment.officeapps.live.com/afejsonblob/1.0"/>
  </ds:schemaRefs>
</ds:datastoreItem>
</file>

<file path=customXml/itemProps2.xml><?xml version="1.0" encoding="utf-8"?>
<ds:datastoreItem xmlns:ds="http://schemas.openxmlformats.org/officeDocument/2006/customXml" ds:itemID="{7E0D7710-6C49-46F3-A6DC-82945B27CA03}"/>
</file>

<file path=customXml/itemProps3.xml><?xml version="1.0" encoding="utf-8"?>
<ds:datastoreItem xmlns:ds="http://schemas.openxmlformats.org/officeDocument/2006/customXml" ds:itemID="{FDB5FFEE-4324-498A-AAAB-4E98B07FC9D9}"/>
</file>

<file path=customXml/itemProps4.xml><?xml version="1.0" encoding="utf-8"?>
<ds:datastoreItem xmlns:ds="http://schemas.openxmlformats.org/officeDocument/2006/customXml" ds:itemID="{651AD389-6A49-4A54-9BE9-981B53F884DD}"/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Hoja1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José Manuel Pomares Medrano</dc:creator>
  <cp:lastModifiedBy>José Manuel Pomares Medrano</cp:lastModifiedBy>
  <dcterms:created xsi:type="dcterms:W3CDTF">2024-04-21T07:53:19Z</dcterms:created>
  <dcterms:modified xsi:type="dcterms:W3CDTF">2024-05-07T01:53:08Z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0x0101008DB528046A1D7649986AE8B7D2188F3E</vt:lpwstr>
  </property>
</Properties>
</file>